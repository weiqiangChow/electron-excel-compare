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MIDIPLUS\Desktop\"/>
    </mc:Choice>
  </mc:AlternateContent>
  <xr:revisionPtr revIDLastSave="0" documentId="8_{9399EF59-1E6F-4AF5-9FB7-E6C3D383654B}" xr6:coauthVersionLast="47" xr6:coauthVersionMax="47" xr10:uidLastSave="{00000000-0000-0000-0000-000000000000}"/>
  <bookViews>
    <workbookView xWindow="-103" yWindow="-103" windowWidth="21026" windowHeight="13920" firstSheet="1" activeTab="1" xr2:uid="{00000000-000D-0000-FFFF-FFFF00000000}"/>
  </bookViews>
  <sheets>
    <sheet name="Main Board" sheetId="2" state="hidden" r:id="rId1"/>
    <sheet name="Main Board (NEW)" sheetId="6" r:id="rId2"/>
    <sheet name="Panel Board" sheetId="3" r:id="rId3"/>
  </sheets>
  <definedNames>
    <definedName name="_xlnm._FilterDatabase" localSheetId="0" hidden="1">'Main Board'!$A$2:$L$271</definedName>
    <definedName name="_xlnm._FilterDatabase" localSheetId="1" hidden="1">'Main Board (NEW)'!$A$2:$M$300</definedName>
    <definedName name="_xlnm._FilterDatabase" localSheetId="2" hidden="1">'Panel Board'!$A$2:$K$25</definedName>
  </definedNames>
  <calcPr calcId="191029"/>
</workbook>
</file>

<file path=xl/calcChain.xml><?xml version="1.0" encoding="utf-8"?>
<calcChain xmlns="http://schemas.openxmlformats.org/spreadsheetml/2006/main">
  <c r="K300" i="6" l="1"/>
  <c r="M25" i="3" l="1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9" i="3"/>
  <c r="K8" i="3"/>
  <c r="K7" i="3"/>
  <c r="K6" i="3"/>
  <c r="K5" i="3"/>
  <c r="K4" i="3"/>
  <c r="K3" i="3"/>
  <c r="K299" i="6"/>
  <c r="K298" i="6"/>
  <c r="K296" i="6"/>
  <c r="K295" i="6"/>
  <c r="K293" i="6"/>
  <c r="K292" i="6"/>
  <c r="K291" i="6"/>
  <c r="K289" i="6"/>
  <c r="K288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69" i="6"/>
  <c r="K267" i="6"/>
  <c r="K266" i="6"/>
  <c r="K265" i="6"/>
  <c r="K264" i="6"/>
  <c r="K263" i="6"/>
  <c r="K262" i="6"/>
  <c r="K261" i="6"/>
  <c r="K260" i="6"/>
  <c r="K259" i="6"/>
  <c r="K257" i="6"/>
  <c r="K256" i="6"/>
  <c r="K255" i="6"/>
  <c r="K254" i="6"/>
  <c r="K253" i="6"/>
  <c r="K252" i="6"/>
  <c r="K251" i="6"/>
  <c r="K249" i="6"/>
  <c r="K248" i="6"/>
  <c r="K247" i="6"/>
  <c r="K246" i="6"/>
  <c r="K245" i="6"/>
  <c r="K244" i="6"/>
  <c r="K243" i="6"/>
  <c r="K242" i="6"/>
  <c r="K241" i="6"/>
  <c r="K240" i="6"/>
  <c r="K239" i="6"/>
  <c r="K236" i="6"/>
  <c r="K235" i="6"/>
  <c r="K234" i="6"/>
  <c r="K233" i="6"/>
  <c r="K232" i="6"/>
  <c r="K231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1" i="6"/>
  <c r="K210" i="6"/>
  <c r="K209" i="6"/>
  <c r="K208" i="6"/>
  <c r="K207" i="6"/>
  <c r="K206" i="6"/>
  <c r="K205" i="6"/>
  <c r="K204" i="6"/>
  <c r="K202" i="6"/>
  <c r="K201" i="6"/>
  <c r="K199" i="6"/>
  <c r="K198" i="6"/>
  <c r="K197" i="6"/>
  <c r="K196" i="6"/>
  <c r="K195" i="6"/>
  <c r="K194" i="6"/>
  <c r="K193" i="6"/>
  <c r="K191" i="6"/>
  <c r="K190" i="6"/>
  <c r="K189" i="6"/>
  <c r="K188" i="6"/>
  <c r="K187" i="6"/>
  <c r="K186" i="6"/>
  <c r="K185" i="6"/>
  <c r="K184" i="6"/>
  <c r="K183" i="6"/>
  <c r="K182" i="6"/>
  <c r="K181" i="6"/>
  <c r="K179" i="6"/>
  <c r="K178" i="6"/>
  <c r="K177" i="6"/>
  <c r="K176" i="6"/>
  <c r="K175" i="6"/>
  <c r="K174" i="6"/>
  <c r="K173" i="6"/>
  <c r="K172" i="6"/>
  <c r="K171" i="6"/>
  <c r="K170" i="6"/>
  <c r="K169" i="6"/>
  <c r="K166" i="6"/>
  <c r="K165" i="6"/>
  <c r="K164" i="6"/>
  <c r="K163" i="6"/>
  <c r="K162" i="6"/>
  <c r="K161" i="6"/>
  <c r="K160" i="6"/>
  <c r="K159" i="6"/>
  <c r="K158" i="6"/>
  <c r="K155" i="6"/>
  <c r="K154" i="6"/>
  <c r="K153" i="6"/>
  <c r="K152" i="6"/>
  <c r="K151" i="6"/>
  <c r="K150" i="6"/>
  <c r="K149" i="6"/>
  <c r="K148" i="6"/>
  <c r="K147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0" i="6"/>
  <c r="K129" i="6"/>
  <c r="K128" i="6"/>
  <c r="K127" i="6"/>
  <c r="K125" i="6"/>
  <c r="K124" i="6"/>
  <c r="K123" i="6"/>
  <c r="K122" i="6"/>
  <c r="K121" i="6"/>
  <c r="K120" i="6"/>
  <c r="K119" i="6"/>
  <c r="K118" i="6"/>
  <c r="K117" i="6"/>
  <c r="K114" i="6"/>
  <c r="K113" i="6"/>
  <c r="K111" i="6"/>
  <c r="K109" i="6"/>
  <c r="K107" i="6"/>
  <c r="K106" i="6"/>
  <c r="K105" i="6"/>
  <c r="K104" i="6"/>
  <c r="K103" i="6"/>
  <c r="K102" i="6"/>
  <c r="K100" i="6"/>
  <c r="K99" i="6"/>
  <c r="K97" i="6"/>
  <c r="K95" i="6"/>
  <c r="K94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4" i="6"/>
  <c r="K3" i="6"/>
  <c r="L271" i="2"/>
  <c r="K271" i="2"/>
  <c r="K270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</calcChain>
</file>

<file path=xl/sharedStrings.xml><?xml version="1.0" encoding="utf-8"?>
<sst xmlns="http://schemas.openxmlformats.org/spreadsheetml/2006/main" count="2746" uniqueCount="1035">
  <si>
    <t>Description</t>
  </si>
  <si>
    <t>Remark</t>
  </si>
  <si>
    <t>UAI22（RIO2)_MainBoard_BOM_V0.01_10132025 BOM</t>
  </si>
  <si>
    <t>PN</t>
  </si>
  <si>
    <t>Comment</t>
  </si>
  <si>
    <t>Footprint</t>
  </si>
  <si>
    <t>Designator</t>
  </si>
  <si>
    <t>Quantity</t>
  </si>
  <si>
    <t>Vendor</t>
  </si>
  <si>
    <t>MOQ</t>
  </si>
  <si>
    <t>L/T</t>
  </si>
  <si>
    <t>unit price
(USD)</t>
  </si>
  <si>
    <t>Amount</t>
  </si>
  <si>
    <t>Cost Difference from Volt 2</t>
  </si>
  <si>
    <t>Remark （vs Volt 2)</t>
  </si>
  <si>
    <t>No Stuff</t>
  </si>
  <si>
    <t>1M(NF)</t>
  </si>
  <si>
    <t>R0402</t>
  </si>
  <si>
    <t>R63</t>
  </si>
  <si>
    <t>Res SMD 1k 1% 63mW 100ppm°C 50V 0402</t>
  </si>
  <si>
    <t>1K</t>
  </si>
  <si>
    <t>R0402_M_3D</t>
  </si>
  <si>
    <t>R1618, R1619, R1662, R1663, R1678, R1679</t>
  </si>
  <si>
    <t>Res SMD 1Meg 1% 63mW 100ppm°C 50V 0402</t>
  </si>
  <si>
    <t>1Meg</t>
  </si>
  <si>
    <t>R150_1, R150_2</t>
  </si>
  <si>
    <t>Res SMD 1.15k 1% 63mW 100ppm°C 50V 0402</t>
  </si>
  <si>
    <t>1.15k</t>
  </si>
  <si>
    <t>R153_1, R153_2</t>
  </si>
  <si>
    <t>Res SMD 2k 1% 63mW 100ppm°C 50V 0402</t>
  </si>
  <si>
    <t>2k</t>
  </si>
  <si>
    <t>R148_1, R148_2</t>
  </si>
  <si>
    <t>Res SMD 4.02k 1% 63mW 100ppm°C  50V 0402</t>
  </si>
  <si>
    <t>4.02k</t>
  </si>
  <si>
    <t>R79_1, R79_2</t>
  </si>
  <si>
    <t>Res SMD 4.64k 1% 63mW 100ppm°C 50V 0402</t>
  </si>
  <si>
    <t>4.64K</t>
  </si>
  <si>
    <t>R114_1, R114_2</t>
  </si>
  <si>
    <t>Res SMD 5.1k 1% 63mW 100ppm°C 50V 0402</t>
  </si>
  <si>
    <t>5.1K</t>
  </si>
  <si>
    <t>R73_1, R73_2, R76_1, R76_2</t>
  </si>
  <si>
    <t>Res SMD 6.81k 1% 63mW 100ppm°C 50V 0402</t>
  </si>
  <si>
    <t>6.81K</t>
  </si>
  <si>
    <t>R61_1, R61_2</t>
  </si>
  <si>
    <t>Res SMD 10K 1% 63mW 100ppm°C 50V 0402</t>
  </si>
  <si>
    <t>10K</t>
  </si>
  <si>
    <t>R35, R144</t>
  </si>
  <si>
    <t>R26, R27, R28, R183, R184, R185</t>
  </si>
  <si>
    <t>Res SMD 15k 1% 63mW 100ppm°C 50V 0402</t>
  </si>
  <si>
    <t>15k</t>
  </si>
  <si>
    <t>R143_1, R143_2</t>
  </si>
  <si>
    <t>Res SMD 22.1k 1% 63mW 100ppm°C 50V 0402</t>
  </si>
  <si>
    <t>22.1k</t>
  </si>
  <si>
    <t>R138_1, R138_2</t>
  </si>
  <si>
    <t>Res SMD 39k 1% 63mW 100ppm°C 50V 0402</t>
  </si>
  <si>
    <t>39k</t>
  </si>
  <si>
    <t>R33</t>
  </si>
  <si>
    <t>Res SMD 80.6k 1% 63mW 100ppm°C 50V 0402</t>
  </si>
  <si>
    <t>80.6k</t>
  </si>
  <si>
    <t>R140_1, R140_2</t>
  </si>
  <si>
    <t>Res SMD 100k 1% 63mW 100ppm°C 50V 0402</t>
  </si>
  <si>
    <t>100K</t>
  </si>
  <si>
    <t>R2, R11</t>
  </si>
  <si>
    <t>R1647, R1649</t>
  </si>
  <si>
    <t>Res SMD 255K 1% 63mW 100ppm°C 50V 0402</t>
  </si>
  <si>
    <t>255K</t>
  </si>
  <si>
    <t>R163_1, R163_2</t>
  </si>
  <si>
    <t>Res SMD 412k 1% 63mW 100ppm°C 50V 0402</t>
  </si>
  <si>
    <t>412k</t>
  </si>
  <si>
    <t>R127_1, R127_2</t>
  </si>
  <si>
    <t>Res SMD 422k 1% 63mW 100ppm°C 50V 0402</t>
  </si>
  <si>
    <t>422k</t>
  </si>
  <si>
    <t>R158_1, R158_2</t>
  </si>
  <si>
    <t>Res SMD 470ohm 1% 63mW 100ppm°C 50V 0402</t>
  </si>
  <si>
    <t>470R</t>
  </si>
  <si>
    <t>R161</t>
  </si>
  <si>
    <t>Res SMD 523k 1% 63mW 100ppm°C 50V 0402</t>
  </si>
  <si>
    <t>523k</t>
  </si>
  <si>
    <t>R139_1, R139_2</t>
  </si>
  <si>
    <t>RES SMD 0402 1/16W 1% 0R "ROHS"</t>
  </si>
  <si>
    <t>0R</t>
  </si>
  <si>
    <t>R51, R53, R54, R55, R74, R75, R76, R77, R78, R79, R80, R200, R201, R252, R253</t>
  </si>
  <si>
    <t>RES SMD 0402 1/16W 1% 1K "ROHS"</t>
  </si>
  <si>
    <t>R7, R126_1, R126_2, R129_1, R129_2, R166, R167, R172_1, R172_2, R173_1, R173_2, R177_1, R177_2, R178, R178_1, R178_2, R627, R628</t>
  </si>
  <si>
    <t>R98</t>
  </si>
  <si>
    <t>RES SMD 0402 1/16W 1% 1M  "ROHS"</t>
  </si>
  <si>
    <t>1M</t>
  </si>
  <si>
    <t>R1648, R1650</t>
  </si>
  <si>
    <t>RES SMD 0402 1/16W 1% 1M "FENG HUA" RC-02W105FT "ROHS"</t>
  </si>
  <si>
    <t>R218, R221, R223</t>
  </si>
  <si>
    <t>RES SMD 0402 1/16W 1% 2.2K "ROHS"</t>
  </si>
  <si>
    <t>2.2K</t>
  </si>
  <si>
    <t>R50, R95, R403</t>
  </si>
  <si>
    <t>RES SMD 0402 1/16W 1% 3.01K "YAGEO" RC0402FR-073K01L "ROHS"</t>
  </si>
  <si>
    <t>3.01K</t>
  </si>
  <si>
    <t>R98_1, R98_2</t>
  </si>
  <si>
    <t>RES SMD 0402 1/16W 1% 3.65K "ROHS"</t>
  </si>
  <si>
    <t>3.65K</t>
  </si>
  <si>
    <t>R37</t>
  </si>
  <si>
    <t>RES SMD 0402 1/16W 1% 4.7K "YAGEO" RC0402FR-074K7L "ROHS"</t>
  </si>
  <si>
    <t>4.7K</t>
  </si>
  <si>
    <t>R72_1, R72_2, R74_1, R74_2, R77_1, R77_2, R78_1, R78_2</t>
  </si>
  <si>
    <t>R93</t>
  </si>
  <si>
    <t>RES SMD 0402 1/16W 1% 4.99K "YAGEO" "ROHS"</t>
  </si>
  <si>
    <t>4.99K</t>
  </si>
  <si>
    <t>R141_1, R141_2</t>
  </si>
  <si>
    <t>RES SMD 0402 1/16W 1% 5.1K "ROHS"</t>
  </si>
  <si>
    <t>R24, R39</t>
  </si>
  <si>
    <t>RES SMD 0402 1/16W 1% 5.1K "YAGEO" RC0402FR-075K1L "ROHS"</t>
  </si>
  <si>
    <t>5.1K 1%</t>
  </si>
  <si>
    <t>R9, R15, R199, R202</t>
  </si>
  <si>
    <t>RES SMD 0402 1/16W 1% 6.98K "ROHS"</t>
  </si>
  <si>
    <t>6.98K</t>
  </si>
  <si>
    <t>R25, R113</t>
  </si>
  <si>
    <t>RES SMD 0402 1/16W 1% 7.5K "YAGEO" RC0402FR-077K5L "ROHS"</t>
  </si>
  <si>
    <t>7.5K</t>
  </si>
  <si>
    <t>R69_1, R69_2, R75_1, R75_2, R95_1, R95_2, R96_1, R96_2, R142_1, R142_2</t>
  </si>
  <si>
    <t>RES SMD 0402 1/16W 1% 10K  "ROHS"</t>
  </si>
  <si>
    <t>10K 1%</t>
  </si>
  <si>
    <t>R91, R94, R179, R180, R195, R203, R204, R205, R206, R207, R208, R209, R210, R211, R212, R213, R214, R215, R264, R389</t>
  </si>
  <si>
    <t>10K 1%(NC)</t>
  </si>
  <si>
    <t>R387, R388</t>
  </si>
  <si>
    <t>RES SMD 0402 1/16W 1% 10K "ROHS"</t>
  </si>
  <si>
    <t>R6, R61, R119, R120</t>
  </si>
  <si>
    <t>RES SMD 0402 1/16W 1% 10K "YAGEO" RC0402FR-0710K "ROHS"</t>
  </si>
  <si>
    <t>R125_1, R125_2</t>
  </si>
  <si>
    <t>RES SMD 0402 1/16W 1% 17.4K "YAGEO" RC0402FR-0717K4L "ROHS"</t>
  </si>
  <si>
    <t>17.4K</t>
  </si>
  <si>
    <t>R64_1, R64_2, R97_1, R97_2</t>
  </si>
  <si>
    <t>RES SMD 0402 1/16W 1% 20.5K "'Yageo" "ROHS"</t>
  </si>
  <si>
    <t>20.5K</t>
  </si>
  <si>
    <t>R63_1, R63_2</t>
  </si>
  <si>
    <t>RES SMD 0402 1/16W 1% 22R  "ROHS"</t>
  </si>
  <si>
    <t>22R</t>
  </si>
  <si>
    <t>R162, R165, R173, R248</t>
  </si>
  <si>
    <t>22R 1%</t>
  </si>
  <si>
    <t>R72, R81, R82, R85, R86, R87, R88, R90, R92, R99, R105, R107, R109, R135, R139, R141, R142, R145, R196, R197, R198, R220, R265, R266, R267, R268, R402, R404, R423, R424</t>
  </si>
  <si>
    <t>RES SMD 0402 1/16W 1% 26.7K "YAGEO" "ROHS"</t>
  </si>
  <si>
    <t>26.7K</t>
  </si>
  <si>
    <t>R71_1, R71_2, R83_1, R83_2</t>
  </si>
  <si>
    <t>RES SMD 0402 1/16W 1% 30.1K "YAGEO" RC0402FR-0730K1L "ROHS"</t>
  </si>
  <si>
    <t>30.1K</t>
  </si>
  <si>
    <t>R94_1, R94_2</t>
  </si>
  <si>
    <t>RES SMD 0402 1/16W 1% 33K "ROHS"</t>
  </si>
  <si>
    <t>33K</t>
  </si>
  <si>
    <t>R8</t>
  </si>
  <si>
    <t>RES SMD 0402 1/16W 1% 39K "ROHS"</t>
  </si>
  <si>
    <t>39K</t>
  </si>
  <si>
    <t>R121</t>
  </si>
  <si>
    <t>RES SMD 0402 1/16W 1% 45.3K "ROHS"</t>
  </si>
  <si>
    <t>45.3K</t>
  </si>
  <si>
    <t>R22</t>
  </si>
  <si>
    <t>RES SMD 0402 1/16W 1% 47R "ROHS"</t>
  </si>
  <si>
    <t>47R</t>
  </si>
  <si>
    <t>R41, R42, R43, R44, R45, R46, R47, R52, R58, R59, R60, R64, R65, R66, R67, R68, R69, R70, R71, R83, R84, R89, R100, R101, R102, R103, R106, R108, R115, R116, R117, R124, R125, R126, R127, R128, R129, R133, R134, R136, R175, R182, R186, R187, R188, R189, R190, R191, R192, R193, R194, R406, R407, R408, R409</t>
  </si>
  <si>
    <t>RES SMD 0402 1/16W 1% 49.9K "YAGEO" "ROHS"</t>
  </si>
  <si>
    <t>49.9K</t>
  </si>
  <si>
    <t>R67_2, R68_1, R146_1, R146_2</t>
  </si>
  <si>
    <t>RES SMD 0402 1/16W 1% 100K  "ROHS"</t>
  </si>
  <si>
    <t>R18, R20, R23, R36, R112</t>
  </si>
  <si>
    <t>RES SMD 0402 1/16W 1% 100K "ROHS"</t>
  </si>
  <si>
    <t>R122</t>
  </si>
  <si>
    <t>RES SMD 0402 1/16W 1% 100R "ROHS"</t>
  </si>
  <si>
    <t>100R</t>
  </si>
  <si>
    <t>R240, R241, R242, R243, R244, R245, R246, R257, R260, R261</t>
  </si>
  <si>
    <t>R219, R222, R224</t>
  </si>
  <si>
    <t>RES SMD 0402 1/16W 1% 110K "YAGEO" RC0402FR-07110KL "ROHS"</t>
  </si>
  <si>
    <t>110K</t>
  </si>
  <si>
    <t>R108_1, R108_2</t>
  </si>
  <si>
    <t>RES SMD 0402 1/16W 1% 220K  "ROHS"</t>
  </si>
  <si>
    <t>220K</t>
  </si>
  <si>
    <t>R137</t>
  </si>
  <si>
    <t>RES SMD 0402 1/16W 1% 330K  "ROHS"</t>
  </si>
  <si>
    <t>330K</t>
  </si>
  <si>
    <t>R138</t>
  </si>
  <si>
    <t>RES SMD 0402 1/16W 1% 383K "ROHS"</t>
  </si>
  <si>
    <t>383K</t>
  </si>
  <si>
    <t>R62</t>
  </si>
  <si>
    <t>RES SMD CHIP 0402 1/16W 1% 47.5K "YAGEO" RC0402FR-0747K5 "ROHS"</t>
  </si>
  <si>
    <t>47.5K</t>
  </si>
  <si>
    <t>R90_1, R90_2</t>
  </si>
  <si>
    <t>RES TKF SMD 0402 1/16W 1% 75K "YAGEO" RC0402FR-0775KL "ROHS"</t>
  </si>
  <si>
    <t>75K</t>
  </si>
  <si>
    <t>R70_1, R70_2, R91_1, R91_2</t>
  </si>
  <si>
    <t>RES TKF SMD 0402 1/16W 1% 121K "YAGEO" RC0402FR-07121KL "ROHS"</t>
  </si>
  <si>
    <t>121K</t>
  </si>
  <si>
    <t>R67_1, R68_2, R92_1, R92_2</t>
  </si>
  <si>
    <t>113006000 FERRITE BEAD SMD 0603 600R "FENGHUA" CBG160808U601T "ROHS"</t>
  </si>
  <si>
    <t>CBG160808U601T</t>
  </si>
  <si>
    <t>R0603_M_3D</t>
  </si>
  <si>
    <t>FB5, FB7, FB8, FB11, FB12</t>
  </si>
  <si>
    <t>薄膜电阻</t>
  </si>
  <si>
    <t>113281101_x000D_
RES SMD 0603 1/10W 0.1% 1.1K THIN FILM "YAGEO" RT0603BRD071K1L "ROHS"</t>
  </si>
  <si>
    <t>1.1K  0.1%</t>
  </si>
  <si>
    <t>R0603</t>
  </si>
  <si>
    <t>R174_1, R174_2, R176_1, R176_2</t>
  </si>
  <si>
    <t>FERRITE BEAD SMD 0603 120R 200mA "FENGHUA" CBG160808U121T"ROHS"</t>
  </si>
  <si>
    <t>CBG160808U121T</t>
  </si>
  <si>
    <t>FB41, FB42, FB45, FB46 FB61_1, FB61_2, FB62_1, FB62_2, FB63_1, FB63_2, FB64_1, FB64_2, FB65_1, FB65_2</t>
  </si>
  <si>
    <t>Res SMD 1K 0.5% 100mW 100ppm°C Thin 75V 0603</t>
  </si>
  <si>
    <t>R112_1, R112_2</t>
  </si>
  <si>
    <t>Res SMD 1Meg 0.5% 100mW 100ppm°C Thin 75V 0603</t>
  </si>
  <si>
    <t>R121_1, R121_2</t>
  </si>
  <si>
    <t>Res SMD 1.3K 0.5% 100mW 50ppm°C Thin 75V 0603</t>
  </si>
  <si>
    <t>1.3K</t>
  </si>
  <si>
    <t>R66_1, R66_2</t>
  </si>
  <si>
    <t>Res SMD 1.74K 0.5% 100mW 50ppm°C Thin 75V 0603</t>
  </si>
  <si>
    <t>1.74K</t>
  </si>
  <si>
    <t>R137_1, R137_2</t>
  </si>
  <si>
    <t>Res SMD 2K 0.5% 100mW 100ppm°C Thin 75V 0603</t>
  </si>
  <si>
    <t>R111_1, R111_2, R113_1, R113_2</t>
  </si>
  <si>
    <t>Res SMD 2K 1% 100mW 100ppm°C  75V 0603</t>
  </si>
  <si>
    <t>R62_1, R62_2</t>
  </si>
  <si>
    <t>Res SMD 2.87k 0.5% 100mW 50ppm°C Thin 75V 0603</t>
  </si>
  <si>
    <t>2.87K</t>
  </si>
  <si>
    <t>R144_1, R144_2, R149_1, R149_2</t>
  </si>
  <si>
    <t>R1652, R1660, R1668, R1676</t>
  </si>
  <si>
    <t>Res SMD 2.94K 0.5% 100mW 100ppm°C Thin 75V 0603</t>
  </si>
  <si>
    <t>2.94K</t>
  </si>
  <si>
    <t>R145_1, R145_2, R155_1, R155_2, R164_1, R164_2, R168_1, R168_2</t>
  </si>
  <si>
    <t>Res SMD 3.32k 0.5% 100mW 100ppm°C Thin 75V 0603</t>
  </si>
  <si>
    <t>3.32k</t>
  </si>
  <si>
    <t>R154_1, R154_2</t>
  </si>
  <si>
    <t>Res SMD 4.12k 0.5% 100mW 100ppm°C Thin 75V 0603</t>
  </si>
  <si>
    <t>4.12K</t>
  </si>
  <si>
    <t>R1603, R1606, R1639, R1644</t>
  </si>
  <si>
    <t>Res SMD 4.99k 1% 100mW 100ppm°C 75V 0603</t>
  </si>
  <si>
    <t>R101_1, R101_2</t>
  </si>
  <si>
    <t>Res SMD 6.34k 0.5% 100mW 50ppm°C Thin 75V 0603</t>
  </si>
  <si>
    <t>6.34K</t>
  </si>
  <si>
    <t>R161_1, R161_2, R165_1, R165_2, R167_1, R167_2 R1724</t>
  </si>
  <si>
    <t>Res SMD 6.98k 0.5% 100mW 50ppm°C Thin 75V 0603</t>
  </si>
  <si>
    <t>R135_1, R135_2</t>
  </si>
  <si>
    <t>Res SMD 10k 0.5% 100mW 100ppm°C Thin 75V 0603</t>
  </si>
  <si>
    <t>R122_1, R122_2, R123_1, R123_2, R136_1, R136_2, R151_1, R151_2, R156_1, R156_2, R157_1, R157_2, R160_1, R160_2, R162_1, R162_2, R170_1, R170_2, R171_1, R171_2</t>
  </si>
  <si>
    <t>10K 0.5%</t>
  </si>
  <si>
    <t>R152_1, R152_2</t>
  </si>
  <si>
    <t>Res SMD 10k 1% 100mW 100ppm°C 75V 0603</t>
  </si>
  <si>
    <t>R1, R4, R10</t>
  </si>
  <si>
    <t>Res SMD 11k 0.5% 100mW 100ppm°C Thin 75V 0603</t>
  </si>
  <si>
    <t>11k</t>
  </si>
  <si>
    <t>R128_1, R128_2</t>
  </si>
  <si>
    <t>Res SMD 19.1K 0.1% 100mW 50ppm°C Thin 75V 0603</t>
  </si>
  <si>
    <t>19.1K</t>
  </si>
  <si>
    <t>R166_1, R166_2</t>
  </si>
  <si>
    <t>Res SMD 20.5K 0.5% 100mW 50ppm°C Thin 75V 0603</t>
  </si>
  <si>
    <t>R80_1, R80_2</t>
  </si>
  <si>
    <t>Res SMD 24.9k 0.5% 100mW 100ppm°C Thin 75V 0603</t>
  </si>
  <si>
    <t>24.9k</t>
  </si>
  <si>
    <t>R159_1, R159_2</t>
  </si>
  <si>
    <t>Res SMD 47ohm 0.5% 100mW 100ppm°C Thin 75V 0603</t>
  </si>
  <si>
    <t>R1653, R1657, R1669, R1673</t>
  </si>
  <si>
    <t>Res SMD 220ohm 1% 100mW 100ppm°C 75V 0603</t>
  </si>
  <si>
    <t>220R</t>
  </si>
  <si>
    <t>R130, R131, R143</t>
  </si>
  <si>
    <t>Res SMD 750ohm 0.5% 100mW 100ppm°C Thin 75V 0603</t>
  </si>
  <si>
    <t>750R</t>
  </si>
  <si>
    <t>R93_1, R93_2</t>
  </si>
  <si>
    <t>RES SMD 0603 1/10W 0.1% 1.33K RT0603BRD071K33L "YAGEO" "ROHS"</t>
  </si>
  <si>
    <t>1.33K  0.1%</t>
  </si>
  <si>
    <t>R115_1, R115_2, R130_1, R130_2, R175_1, R175_2</t>
  </si>
  <si>
    <t>RES SMD 0603 1/10W 0.1% 2.52K RT0603BRD072K52L “YAGEO”"ROHS"</t>
  </si>
  <si>
    <t>2.52K    0.1%</t>
  </si>
  <si>
    <t>R86_1, R86_2, R105_1, R105_2</t>
  </si>
  <si>
    <t>RES SMD 0603 1/10W 0.1% 2.8K THIN FILM "YAGEO" RT0603BRD072K8L "ROHS"</t>
  </si>
  <si>
    <t>2.8K  0.1%</t>
  </si>
  <si>
    <t>R103_1, R103_2, R110_1, R110_2</t>
  </si>
  <si>
    <t>RES SMD 0603 1/10W 0.1% 3.32K "YAGEO" RT0603BRD073K32L "ROHS"</t>
  </si>
  <si>
    <t>3.32K 0.1%</t>
  </si>
  <si>
    <t>R119_1, R119_2, R134_1, R134_2</t>
  </si>
  <si>
    <t>RES SMD 0603 1/10W 0.1% 4.99K "YAGEO" RT0603BRD074K99L
 "ROHS"</t>
  </si>
  <si>
    <t>4.99K 0.1%</t>
  </si>
  <si>
    <t>R1600, R1610, R1637, R1646</t>
  </si>
  <si>
    <t>RES SMD 0603 1/10W 0.1% 10R RT0603BRD0710RL "YAGEO" "ROHS"</t>
  </si>
  <si>
    <t>10R 0.1%</t>
  </si>
  <si>
    <t>R147_1, R147_2, R169_1, R169_2, R610, R613</t>
  </si>
  <si>
    <t>RES SMD 0603 1/10W 0.1% 24R " YAGEO" RT0603BRD0724RL  "ROHS"</t>
  </si>
  <si>
    <t>24R 0.1%</t>
  </si>
  <si>
    <t>R85_1, R85_2, R100_1, R100_2, R104_1, R104_2</t>
  </si>
  <si>
    <t>RES SMD 0603 1/10W 0.1% 64.9R RT0603BRE0764R9L "YEGEO" "ROHS"</t>
  </si>
  <si>
    <t>64.9R  0.1%</t>
  </si>
  <si>
    <t>R88_1, R88_2, R107_1, R107_2</t>
  </si>
  <si>
    <t>RES SMD 0603 1/10W 0.1% 402R RT0603BRD07402RL "YAGEO" "ROHS"</t>
  </si>
  <si>
    <t>402R  0.1%</t>
  </si>
  <si>
    <t>R106_1, R106_2</t>
  </si>
  <si>
    <t>402R   0.1%</t>
  </si>
  <si>
    <t>R87_1, R87_2</t>
  </si>
  <si>
    <t>RES SMD 0603 1/10W 0.1% 562R RT0603BRE07562RL"YAGEO" "ROHS"</t>
  </si>
  <si>
    <t>562R  0.1%</t>
  </si>
  <si>
    <t>R116_1, R116_2, R131_1, R131_2</t>
  </si>
  <si>
    <t>RES SMD 0603 1/10W 0.1% 681R RT0603BRD07681RL "YAGEO" "ROHS"</t>
  </si>
  <si>
    <t>681R   0.1%</t>
  </si>
  <si>
    <t>R117_1, R117_2, R132_1, R132_2</t>
  </si>
  <si>
    <t>RES SMD 0603 1/10W 0.1% 750R RT0603BRD07750RL "YAGEO" "ROHS"</t>
  </si>
  <si>
    <t>750R   0.1%</t>
  </si>
  <si>
    <t>R118_1, R118_2, R133_1, R133_2</t>
  </si>
  <si>
    <t>RES SMD 0603 1/10W 0.5% 2.49K 100mW 100ppm°C Thin 75V "YAGEO" 2.49K "ROHS"</t>
  </si>
  <si>
    <t>2.49K</t>
  </si>
  <si>
    <t>R109_1, R109_2</t>
  </si>
  <si>
    <t>RES SMD 0603 1/10W 0.5% 4.42K RT0603DRD074K42L "YAGEO" "ROHS"</t>
  </si>
  <si>
    <t>4.42K 0.5%</t>
  </si>
  <si>
    <t>R1725</t>
  </si>
  <si>
    <t>RES SMD 0603 1/10W 0.5% 11.5K "YAGEO" RT0603DRD0711K5L
 "ROHS"</t>
  </si>
  <si>
    <t>11.5K 0.5%</t>
  </si>
  <si>
    <t>R1651, R1658, R1667, R1674</t>
  </si>
  <si>
    <t>RES SMD 0603 1/10W 1% 0R "ROHS"</t>
  </si>
  <si>
    <t>R16, R17, R29, R30, R31, R40, R48, R49, R73, R96, R97, R104, R114, R146, R147, R148, R149, R150, R151, R152, R153, R154, R155, R156, R157, R160, R168, R169, R170, R171, R172, R174, R176, R177, R600, R601, R607, R608, R618, R620, R621 R56, R57</t>
  </si>
  <si>
    <t>RES SMD 0603 1/10W 1% 2.2K "ROHS"</t>
  </si>
  <si>
    <t>R13, R14, R158, R159</t>
  </si>
  <si>
    <t>RES SMD 0603 1/10W 1% 2.2R "ROHS"</t>
  </si>
  <si>
    <t>2.2R</t>
  </si>
  <si>
    <t>R415, R416</t>
  </si>
  <si>
    <t>RES SMD 0603 1/10W 1% 6.49K "ROHS"</t>
  </si>
  <si>
    <t>6.49K</t>
  </si>
  <si>
    <t>R38</t>
  </si>
  <si>
    <t>RES SMD 0603 1/10W 1% 10K "ROHS"</t>
  </si>
  <si>
    <t>R12, R181</t>
  </si>
  <si>
    <t>RES SMD 0603 1/10W 1% 51K "ROHS"</t>
  </si>
  <si>
    <t>51K</t>
  </si>
  <si>
    <t>R21, R34, R111</t>
  </si>
  <si>
    <t>RES SMD 0603 1/10W 1% 100K "ROHS"</t>
  </si>
  <si>
    <t>R3</t>
  </si>
  <si>
    <t>RES SMD 0603 1/10W 1% 100R "ROHS"</t>
  </si>
  <si>
    <t>R5</t>
  </si>
  <si>
    <t>RES SMD 0603 100mW 0.5% 1.2K Thin "ROHS"</t>
  </si>
  <si>
    <t>1.2K</t>
  </si>
  <si>
    <t>R609, R611, R612, R614, R616, R619, R622, R624</t>
  </si>
  <si>
    <t>RES THN SMD 0603 1/10W 0.1% 1.62K "YAGEO" RT0603BRD071K62L "ROHS"</t>
  </si>
  <si>
    <t>1.62K  0.1%</t>
  </si>
  <si>
    <t>R120_1, R120_2, R124_1, R124_2</t>
  </si>
  <si>
    <t>110040360/A
RES SMD 0204 MINI MELF 0.4W 1% 50PPM 36R "VIKING" CSRV0204FTDG0360 "ROHS"</t>
  </si>
  <si>
    <t>36R</t>
  </si>
  <si>
    <t>R1206_0805</t>
  </si>
  <si>
    <t>R84_1, R84_2, R102_1, R102_2</t>
  </si>
  <si>
    <t>112372001
RES THIN FILM SMD 0805 1/8W 2K 0.5% 25PPM "YAGEO" RT0805DRD072KL "ROHS"</t>
  </si>
  <si>
    <t>2K</t>
  </si>
  <si>
    <t>R0805</t>
  </si>
  <si>
    <t>R89_1, R89_2, R99_1, R99_2</t>
  </si>
  <si>
    <t>FERRITE BEAD SMD 0805 600R 1LN "MURATA" BLM21AG601SN1D "ROHS"</t>
  </si>
  <si>
    <t>BLM21AG601SN1D</t>
  </si>
  <si>
    <t>FB1</t>
  </si>
  <si>
    <t>ARROW</t>
  </si>
  <si>
    <t>4000</t>
  </si>
  <si>
    <t>Res SMD 0ohm 0805</t>
  </si>
  <si>
    <t>R1601, R1614</t>
  </si>
  <si>
    <t>RES SMD 0805 1/8W 1% 1R "ROHS"</t>
  </si>
  <si>
    <t>1R</t>
  </si>
  <si>
    <t>R132, R140, R615, R617</t>
  </si>
  <si>
    <t>RES SMD 0805 1/8W 1% 10K "ROHS"</t>
  </si>
  <si>
    <t>R19, R32, R110</t>
  </si>
  <si>
    <t>110040360/A_x000D_
RES SMD 0204 MINI MELF 0.4W 1% 50PPM 36R "VIKING" CSRV0204FTDG0360 "ROHS"</t>
  </si>
  <si>
    <t>RES THN SMD 1206 1/4W 0.5% 49.9R "YAGEO" RT1206DRD0749R9L "ROHS"</t>
  </si>
  <si>
    <t>49.9R</t>
  </si>
  <si>
    <t>R1206</t>
  </si>
  <si>
    <t>R1602, R1608, R1609, R1611</t>
  </si>
  <si>
    <t>INDUCTOR SMD 1206 10uH 20% 300mA "FENGHUA" CMP321609XD100MT "ROHS"</t>
  </si>
  <si>
    <t>10uH</t>
  </si>
  <si>
    <t>L1206</t>
  </si>
  <si>
    <t>L10</t>
  </si>
  <si>
    <t>INDUCTOR SMD 1206 10uH 20% 300mA "FENGHUA" MGFL3216F100MT-LF(670mA) "ROHS"</t>
  </si>
  <si>
    <t>L8</t>
  </si>
  <si>
    <t>MICROGATE</t>
  </si>
  <si>
    <t>Res SMD 0ohm 1206</t>
  </si>
  <si>
    <t>R118</t>
  </si>
  <si>
    <t>Res SMD 6.8k 1% 250mW 100ppm°C 200V 1206</t>
  </si>
  <si>
    <t>6.8K</t>
  </si>
  <si>
    <t>R65_1, R65_2, R81_1, R81_2, R82_1, R82_2</t>
  </si>
  <si>
    <t>RES SMD 1206 1/4W 0.5% 330R "YAGEO" RT1206DRD07330RL  “VIKING” ARG06DTC3300  "ROHS"</t>
  </si>
  <si>
    <t>330R 0.5%</t>
  </si>
  <si>
    <t>R1599, R1605, R1612, R1617</t>
  </si>
  <si>
    <t>214104104_x000D_
CAP SMD 0402 CER 100NF 10% 50V X7R "YAGEO" CC0402KRX7R9BB104 "ROHS"</t>
  </si>
  <si>
    <t>100nF</t>
  </si>
  <si>
    <t>C0402_3D_M</t>
  </si>
  <si>
    <t>C11, C14, C15, C16, C18, C21, C23, C26, C27, C29, C31, C32, C34, C37, C41, C49, C50, C52, C54, C78, C88_1, C91_1, C615, C623, C635, C639, C646, C658, C659, C660, C662, C663, C664, C882, C886 C895</t>
  </si>
  <si>
    <t>C0402</t>
  </si>
  <si>
    <t>C62_1, C62_2, C63_1, C63_2, C65_1, C65_2, C66_1, C66_2, C76_1, C77_2, C79_1, C79_2, C87_1, C87_2, C88_2, C91_2, C92_1, C92_2, C93_1, C93_2</t>
  </si>
  <si>
    <t>Cap Cera 10nF 25V 10% X7R 0402</t>
  </si>
  <si>
    <t>10nF</t>
  </si>
  <si>
    <t>C20, C25</t>
  </si>
  <si>
    <t>C43</t>
  </si>
  <si>
    <t>Cap Cera 22pF 50V 5% C0G/NP0 0402</t>
  </si>
  <si>
    <t>22pF</t>
  </si>
  <si>
    <t>C61_1, C61_2</t>
  </si>
  <si>
    <t>Cap Cera 47pF 25V 5% C0G/NP0 0402</t>
  </si>
  <si>
    <t>47pF</t>
  </si>
  <si>
    <t>C101_1, C101_2, C109_1, C109_2</t>
  </si>
  <si>
    <t>Cap Cera 100nF 25V 10% X7R 0402</t>
  </si>
  <si>
    <t>C1, C2, C3, C5, C35, C39, C66, C77, C78_1, C78_2, C82_1, C82_2, C83_1, C83_2, C85_1, C85_2, C86_1, C86_2, C95_1, C95_2, C96, C104_1, C104_2, C110_1, C110_2, C111_1, C111_2, C112_1, C112_2, C113_1, C113_2, C114_1, C114_2, C115_1, C115_2, C117_1, C117_2</t>
  </si>
  <si>
    <t>C100, C101, C841, C843, C849</t>
  </si>
  <si>
    <t>CAP SMD 0402 15PF 5% 50V NPO "FENG HUA" 0402CG150J500NT "ROHS"</t>
  </si>
  <si>
    <t>15pF NPO</t>
  </si>
  <si>
    <t>C98, C99, C102, C103, C107, C108</t>
  </si>
  <si>
    <t>CAP SMD 0402 CER 0.1UF 16V 10% X7R "ROHS"</t>
  </si>
  <si>
    <t>100nF/16V</t>
  </si>
  <si>
    <t>SC0402-BGA</t>
  </si>
  <si>
    <t>C10</t>
  </si>
  <si>
    <t>CAP SMD 0402 CER 1uF 10% 50V X5R  "ROHS"</t>
  </si>
  <si>
    <t>1uF</t>
  </si>
  <si>
    <t>C62</t>
  </si>
  <si>
    <t>CAP SMD 0402 CER 1UF 10% 50V X5R “MURATA"”GRM155R61H105KE05D "ROHS"  LC C1518208</t>
  </si>
  <si>
    <t>1 uF</t>
  </si>
  <si>
    <t>C601, C604, C605, C607</t>
  </si>
  <si>
    <t>CAP SMD 0402 CER 1.8NF 10% 25V X7R "ROHS"</t>
  </si>
  <si>
    <t>1.8nF</t>
  </si>
  <si>
    <t>C123</t>
  </si>
  <si>
    <t>CAP SMD 0402 CER 10PF 5% 50V NPO "ROHS"</t>
  </si>
  <si>
    <t>10pF</t>
  </si>
  <si>
    <t>C63</t>
  </si>
  <si>
    <t>CAP SMD 0402 CER 22PF 5% 50V NPO "ROHS"</t>
  </si>
  <si>
    <t>C9, C36</t>
  </si>
  <si>
    <t>CAP SMD 0402 CER 27PF 5% 50V NPO "YAGEO" "ROHS"</t>
  </si>
  <si>
    <t>27pF</t>
  </si>
  <si>
    <t>C96_1, C96_2</t>
  </si>
  <si>
    <t>CAP SMD 0402 CER 47PF 5% 50V NPO "YAGEO" CC0402JRNPO9BN470 "ROHS"</t>
  </si>
  <si>
    <t>C81_1, C81_2, C84_1, C84_2, C89_1, C89_2, C97_1, C97_2, C107_1, C107_2</t>
  </si>
  <si>
    <t>C611, C617, C636, C647</t>
  </si>
  <si>
    <t>CAP SMD 0402 CER 100nF 10% 16V X7R  "ROHS"</t>
  </si>
  <si>
    <t>C4, C7, C8, C64, C65, C69, C71, C74, C75, C76, C80, C82, C83, C84, C86, C87, C88, C89, C91, C97, C104, C109, C111, C113, C145, C147</t>
  </si>
  <si>
    <t>CAP SMD 0402 CER 100nF 10% 25V X7R  "ROHS"</t>
  </si>
  <si>
    <t>C56, C67, C122</t>
  </si>
  <si>
    <t>CAP SMD 0402 CER 100nF 10% 50V X7R  "ROHS"</t>
  </si>
  <si>
    <t>C118_1, C118_2, C119_1, C119_2, C120_1, C120_2</t>
  </si>
  <si>
    <t>CAP SMD 0402 CER 100nF 10% 50V X7R “MURATA” GRM155R71H104KE14D  "ROHS"   LC C77020</t>
  </si>
  <si>
    <t>100 nF</t>
  </si>
  <si>
    <t>C602, C606, C608, C609</t>
  </si>
  <si>
    <t>CAP SMD 0402 CER 100PF 5% 50V NPO "YAGEO" CC0402JRNPO9BN101 "ROHS"</t>
  </si>
  <si>
    <t>100pF</t>
  </si>
  <si>
    <t>C94_1, C94_2, C95, C98_1, C98_2, C100_1, C100_2, C108_1, C108_2</t>
  </si>
  <si>
    <t>100pF(NC)</t>
  </si>
  <si>
    <t>C137, C194</t>
  </si>
  <si>
    <t>CAP SMD 0402 CER 470PF 10% 50V NPO "YAGEO" CC0402JRNPO9BN471 "ROHS"</t>
  </si>
  <si>
    <t>470pF</t>
  </si>
  <si>
    <t>C68_1, C68_2</t>
  </si>
  <si>
    <t>CAP SMD 0402 NPO 10PF 25V 5% "FENGHUA" 0402CG100J250NT "ROHS"</t>
  </si>
  <si>
    <t>C67_1, C67_2, C71_1, C71_2</t>
  </si>
  <si>
    <t>CAP SMD CER 0402 10UF 20% 10V X5R "ROHS"</t>
  </si>
  <si>
    <t>10uF</t>
  </si>
  <si>
    <t>C73</t>
  </si>
  <si>
    <t>CAP SMD CER 0402 33PF 50V 5% NPO "YAGEO" CC0402JRNP09BN330 "ROHS"</t>
  </si>
  <si>
    <t>33pF</t>
  </si>
  <si>
    <t>C64_1, C64_2</t>
  </si>
  <si>
    <t>CAP SMD 0603 CER 3300PF 5% 50V NPO "ROHS"</t>
  </si>
  <si>
    <t>3.3nF</t>
  </si>
  <si>
    <t>C0603_M_3D</t>
  </si>
  <si>
    <t>C915, C916</t>
  </si>
  <si>
    <t>CAP SMD 0603 CER 0.015UF 5% 25V NPO "KEMET" C0603C153J3GACTU "ROHS"</t>
  </si>
  <si>
    <t>15nF NPO</t>
  </si>
  <si>
    <t>C102_1, C102_2</t>
  </si>
  <si>
    <t>213107225B</t>
  </si>
  <si>
    <t>CAP SMD 0603 2.2UF 16V 10% X5R CER "YAGEO" CC0603KRX5R7BB225 "ROHS"</t>
  </si>
  <si>
    <t>2.2uF</t>
  </si>
  <si>
    <t>C47</t>
  </si>
  <si>
    <t>CAP SMD 0603 CER 0.22UF 5% 16V X7R "YAGEO" CC0603JRX7R7BB224 "ROHS"</t>
  </si>
  <si>
    <t>0.22uF</t>
  </si>
  <si>
    <t>C48</t>
  </si>
  <si>
    <t>213139102A</t>
  </si>
  <si>
    <t>CAP SMD CER 0603 1NF 2% 50V NPO "YAGEO" CC0603GRNPO9BN102 "ROHS"</t>
  </si>
  <si>
    <t>1NF</t>
  </si>
  <si>
    <t>C612, C621, C637, C648</t>
  </si>
  <si>
    <t>CAP SMD 0603 CER 10UF 10% 25V X5R "YAGEO" CC0603KRX5R8BB106 "ROHS"</t>
  </si>
  <si>
    <t>C0603</t>
  </si>
  <si>
    <t>C57</t>
  </si>
  <si>
    <t>CAP SMD 0603 CER 4.7UF 10% 16V X5R "YAGEO" CC0603KRX5R7BB475 "ROHS"</t>
  </si>
  <si>
    <t>4.7uF</t>
  </si>
  <si>
    <t>C12, C13, C44, C634, C638</t>
  </si>
  <si>
    <t>Cap Cera 1.8nF 25V 5% C0G/NP0 0603</t>
  </si>
  <si>
    <t>C99_1, C99_2</t>
  </si>
  <si>
    <t>Cap Cera 3.3nF 25V 5% C0G/NP0 0603</t>
  </si>
  <si>
    <t>C106_1, C106_2</t>
  </si>
  <si>
    <t>Cap Cera 10nF 50V 5% Murata GRM1885C1H103JA01J C0G/NP0 0603</t>
  </si>
  <si>
    <t>C105_1, C105_2</t>
  </si>
  <si>
    <t>Cap Cera 15nF 25V 5% C0G/NP0 0603</t>
  </si>
  <si>
    <t>15nF</t>
  </si>
  <si>
    <t>C90_1, C90_2</t>
  </si>
  <si>
    <t>Cap Cera 15pF 50V 5% C0G/NP0 0603</t>
  </si>
  <si>
    <t>15pF</t>
  </si>
  <si>
    <t>C69_1, C69_2, C75_1, C75_2</t>
  </si>
  <si>
    <t>Cap Cera 47pF 50V 5% C0G/NP0 0603</t>
  </si>
  <si>
    <t>C72_1, C72_2, C73_1, C73_2</t>
  </si>
  <si>
    <t>Cap Cera 100pF 50V 5% C0G/NP0 0603</t>
  </si>
  <si>
    <t>C70_1, C70_2, C74_1, C74_2, C76_2, C77_1, C80_1, C80_2, C116_1, C116_2</t>
  </si>
  <si>
    <t>C850, C853, C858, C861</t>
  </si>
  <si>
    <t>Cap Cera 220pF 50V 5% C0G/NP0 0603</t>
  </si>
  <si>
    <t>220pF</t>
  </si>
  <si>
    <t>C826, C827, C838, C839</t>
  </si>
  <si>
    <t>Cap Cera 470pF 50V 5% C0G/NP0 0603</t>
  </si>
  <si>
    <t>C852, C855, C860, C863</t>
  </si>
  <si>
    <t>CAP SMD 0603 1UF 50V 10%  X7R "ROHS"</t>
  </si>
  <si>
    <t>C45, C46, C642, C643</t>
  </si>
  <si>
    <t>CAP SMD 0603 2.2UF 16V 10% X7R CER "YAGEO" "ROHS"</t>
  </si>
  <si>
    <t>C68, C72, C110, C112, C144, C146</t>
  </si>
  <si>
    <t>CAP SMD 0603 10UF 10% 10V X5R "YAGEO" CC0603KRX5R6BB106 "ROHS"</t>
  </si>
  <si>
    <t>C103_1, C103_2</t>
  </si>
  <si>
    <t>CAP SMD 0603 CER 1NF 10% 25V X7R "ROHS"</t>
  </si>
  <si>
    <t>1nF</t>
  </si>
  <si>
    <t>C70</t>
  </si>
  <si>
    <t>CAP SMD 0603 CER 1UF 10% 25V X7R  "ROHS"</t>
  </si>
  <si>
    <t>C6</t>
  </si>
  <si>
    <t>CAP SMD 0603 CER 620PF 10% 50V NPO "ROHS"</t>
  </si>
  <si>
    <t>620pF</t>
  </si>
  <si>
    <t>C610, C613, C616, C625, C632, C641, C645, C649, C650</t>
  </si>
  <si>
    <t>LED RED 2mA SMD 0603 "JASIONAL" JX-SP190USR "ROHS"</t>
  </si>
  <si>
    <t>JX-SP190USR</t>
  </si>
  <si>
    <t>D0603</t>
  </si>
  <si>
    <t>LED44</t>
  </si>
  <si>
    <t>JASIONAL</t>
  </si>
  <si>
    <t>Cap Cera 10uF 25V 10% X5R 0805</t>
  </si>
  <si>
    <t>C0805_M_3D</t>
  </si>
  <si>
    <t>C894</t>
  </si>
  <si>
    <t>CAP SMD 0805 CER 10UF 20% 16V X5R "ROHS"</t>
  </si>
  <si>
    <t>C614, C622, C644</t>
  </si>
  <si>
    <t>CAP SMD 0805 CER 100nF 10% 100V X7R  "ROHS"</t>
  </si>
  <si>
    <t>C0805</t>
  </si>
  <si>
    <t>C60, C61</t>
  </si>
  <si>
    <t>Cap Cera 22uF 25V 10% X5R 1206</t>
  </si>
  <si>
    <t>22uF</t>
  </si>
  <si>
    <t>C1206_M_3D</t>
  </si>
  <si>
    <t>C17, C19, C22, C24, C28, C30, C40, C42, C51, C53, C55, C633, C640, C847, C848</t>
  </si>
  <si>
    <t>C1206</t>
  </si>
  <si>
    <t>C33, C38</t>
  </si>
  <si>
    <t>CAP SMD 1206 CER 2.2UF 10% 25V X7R "ROHS"</t>
  </si>
  <si>
    <t>C58, C59</t>
  </si>
  <si>
    <t>IC REG BOOST ADJUSTABLE 3A QFN-14 "MPS" MP3425DL-LF-Z "ROHS"</t>
  </si>
  <si>
    <t>MP3425DL-LF-Z</t>
  </si>
  <si>
    <t>QFN-14_L4.0-W3.0-P0.50-BL-EP</t>
  </si>
  <si>
    <t>U10</t>
  </si>
  <si>
    <t>ZLG</t>
  </si>
  <si>
    <t xml:space="preserve">310237101
</t>
  </si>
  <si>
    <t>IC SMD SIGNAL SWITCH TQFN-2.6*1.8-16L "SGMICRO" SGM3710YTQA16G/TR "ROHS"</t>
  </si>
  <si>
    <t>SGM3710YTQA16G/TR</t>
  </si>
  <si>
    <t>UFQFN-16</t>
  </si>
  <si>
    <t>U65_1, U65_2, U73_1, U73_2</t>
  </si>
  <si>
    <t>VISVIE</t>
  </si>
  <si>
    <t>JACK 6.35mm STEREO 6PIN "HAOYU" PJ-625F "ROHS"</t>
  </si>
  <si>
    <t>PJ-625F</t>
  </si>
  <si>
    <t>PJ-625G</t>
  </si>
  <si>
    <t>JP62_1, JP62_2, JP105</t>
  </si>
  <si>
    <t>HAOYU</t>
  </si>
  <si>
    <t>Usage increase</t>
  </si>
  <si>
    <t>210226016C</t>
  </si>
  <si>
    <t>CAP SMD ELEC 1UF 20% 50V 4*5.5mm "TOPAZ" ERVT1H1R0M0405B1 "ROHS"</t>
  </si>
  <si>
    <t>1uF/50V</t>
  </si>
  <si>
    <t>ERB4X5.5</t>
  </si>
  <si>
    <t>E4, E11, E14</t>
  </si>
  <si>
    <t>CAP SMD ELEC 220UF 20% 16V 6.3*5.5mm "HONOR" VP1C221M0605 "ROHS"</t>
  </si>
  <si>
    <t>220uF/16V</t>
  </si>
  <si>
    <t>ERB6.3X5.5</t>
  </si>
  <si>
    <t>E1, E600, E601</t>
  </si>
  <si>
    <t>HONOR</t>
  </si>
  <si>
    <t>CAP SMD ELEC 47UF 10% 16V 5*5.5mm "ROHS"</t>
  </si>
  <si>
    <t>47uF/16V</t>
  </si>
  <si>
    <t>ERB5X5.5</t>
  </si>
  <si>
    <t>E2, E3</t>
  </si>
  <si>
    <t>IC CSTS QFN48 STEREO AUDIO CODEC 32 BIT 768KHz SM "CIRRUS LOGIC" CS4304P-DNR "ROHS"</t>
  </si>
  <si>
    <t>CS4304P</t>
  </si>
  <si>
    <t>QFN48</t>
  </si>
  <si>
    <t>U605</t>
  </si>
  <si>
    <t>XLGJ</t>
  </si>
  <si>
    <t>IC SMD AUDIO A/D CONVERTER ICS QFN-48 "CIRRUE LOGIC" CS5302P-DNR</t>
  </si>
  <si>
    <t>CS5302P</t>
  </si>
  <si>
    <t>U2</t>
  </si>
  <si>
    <t>UA quote, Cirrus feedback: this is the budget quote based on the annual demand of 250Kpcs.</t>
  </si>
  <si>
    <t>310406910B</t>
  </si>
  <si>
    <t>IC DC-DC STEP UP CONTERVER 2-24V 4A SOT-23-6 "AEROSEMI" MT3608 "ROHS"</t>
  </si>
  <si>
    <t>MT3608</t>
  </si>
  <si>
    <t>SOT-23-6</t>
  </si>
  <si>
    <t>U7</t>
  </si>
  <si>
    <t>FEICHENG</t>
  </si>
  <si>
    <t>,IC DC CONVERTOR SOT23-5 IN 2.5V-5.5V "RYCHIP" RY3420 "ROHS"</t>
  </si>
  <si>
    <t>RY3420</t>
  </si>
  <si>
    <t>SOT-23-5</t>
  </si>
  <si>
    <t>U17, U25</t>
  </si>
  <si>
    <t>SHIDING</t>
  </si>
  <si>
    <t>IC REG LDO 250MA 3.3V SOT23-5 "TI" LP5907QMFX-3.3Q1 "ROHS"</t>
  </si>
  <si>
    <t>LP5907QMFX-3.3Q1</t>
  </si>
  <si>
    <t>U600, U601</t>
  </si>
  <si>
    <t>TI</t>
  </si>
  <si>
    <t>Different  reference</t>
  </si>
  <si>
    <t>311100064A</t>
  </si>
  <si>
    <t>IC FLASH 64MBIT 2.7V-3.6V SOP8 "GIGADEVICE" GD25Q64ESIGR</t>
  </si>
  <si>
    <t>GD25Q64ESIGR</t>
  </si>
  <si>
    <t>IC_SOP-8_150MIL+208MIL_MIDDLE</t>
  </si>
  <si>
    <t>U19</t>
  </si>
  <si>
    <t>WEJ</t>
  </si>
  <si>
    <t>DIODE ZENER 5.1V 2% 500mW SOD-123 "SEMTECH" MM1Z5B1 "ROHS"</t>
  </si>
  <si>
    <t>MM1Z5B1</t>
  </si>
  <si>
    <t>SOD-123</t>
  </si>
  <si>
    <t>D63_1, D63_2, D65_1, D65_2, D66_1, D66_2, D67_1, D67_2</t>
  </si>
  <si>
    <t>DIODE TVS 3V3 SOD-323 "NEXPERIA" PESD3V3L1BA,115 "ROHS"</t>
  </si>
  <si>
    <t>PESD3V3L1BA</t>
  </si>
  <si>
    <t>SOD-323_M_3D</t>
  </si>
  <si>
    <t>ESD11</t>
  </si>
  <si>
    <t>DYJD</t>
  </si>
  <si>
    <t>411005100/C</t>
  </si>
  <si>
    <t xml:space="preserve"> DIODE SMD SOD-123FL "GD" FS1B "ROHS"</t>
  </si>
  <si>
    <t>FS1B</t>
  </si>
  <si>
    <t>D2</t>
  </si>
  <si>
    <t>421013904H</t>
  </si>
  <si>
    <t>TRANS SMD SOT23 NPN "NANJING" MMBT3904 "ROHS"</t>
  </si>
  <si>
    <t>MMBT3904</t>
  </si>
  <si>
    <t>sot-23</t>
  </si>
  <si>
    <t>Q5, Q64_1, Q64_2</t>
  </si>
  <si>
    <t>551090245E</t>
  </si>
  <si>
    <t xml:space="preserve"> CRYSTAL SMD 3.2*2.5mm 24.576MHZ 10PF±10PPM "JSCC" C3SB24.576F10E12 "ROHS"</t>
  </si>
  <si>
    <t>24.576MHz</t>
  </si>
  <si>
    <t>Y3225</t>
  </si>
  <si>
    <t>Y4</t>
  </si>
  <si>
    <t>JSCC</t>
  </si>
  <si>
    <t>CRYSTAL SMD 8MHZ 10PF ±10PPM 3225 "CHUANJING" C3SB08.000F10M13 "ROHS"</t>
  </si>
  <si>
    <t>8MHz</t>
  </si>
  <si>
    <t>CRYSTAL_3225</t>
  </si>
  <si>
    <t>Y2</t>
  </si>
  <si>
    <t>551092225A</t>
  </si>
  <si>
    <t xml:space="preserve"> CRYSTAL SMD 3.2*2.5mm 22.5792MHZ 12PF/10PPM "JSCC" C3SB22.579F12E12 "ROHS"</t>
  </si>
  <si>
    <t>22.5792MHz</t>
  </si>
  <si>
    <t>Y3</t>
  </si>
  <si>
    <t>551093240C</t>
  </si>
  <si>
    <t xml:space="preserve"> CRYSTAL SMD 24MHZ 10PF ±10PPM 3225 "JSCC" C3SB24.000F10E12 "ROHS"</t>
  </si>
  <si>
    <t>24MHz</t>
  </si>
  <si>
    <t>Y5</t>
  </si>
  <si>
    <t>HEADER 2*15PIN P=2.0mm L=9mm "SHENGPIN" 1320-120215CG0S09001 "ROHS"</t>
  </si>
  <si>
    <t>1320-120215CG0S09001</t>
  </si>
  <si>
    <t>P4</t>
  </si>
  <si>
    <t>SHENGPIN</t>
  </si>
  <si>
    <t>JACK STEREO 12PIN 6.35mm "HAOYU" PJ-626AK 无柱 "ROHS"</t>
  </si>
  <si>
    <t>PJ-626AK</t>
  </si>
  <si>
    <t>JP16</t>
  </si>
  <si>
    <t xml:space="preserve"> XLR CONNECTOR 1/4" STEREO 11PIN "REAN" RRXJ10F-A-001 "ROHS"</t>
  </si>
  <si>
    <t>RRXJ10F-A-001</t>
  </si>
  <si>
    <t>JP61_1, JP61_2</t>
  </si>
  <si>
    <t>PAWPAW</t>
  </si>
  <si>
    <t>CAP RAD ELEC 10UF 20% 16V P=2.5mm 5*11mm "FUJICON" RA1C100M-TSD11WP00 "ROHS"</t>
  </si>
  <si>
    <t>10uF/16V</t>
  </si>
  <si>
    <t>ELE.1/.2 - 2.5mm</t>
  </si>
  <si>
    <t>E17</t>
  </si>
  <si>
    <t>CAP RAD ELEC 47UF 20% 63V P=2.5mm 6.3*11mm 85℃ "ROHS"</t>
  </si>
  <si>
    <t>47uF/63V</t>
  </si>
  <si>
    <t>ELE.1/.26 - 2.5mm</t>
  </si>
  <si>
    <t>E64_1, E64_2, E67_1, E67_2</t>
  </si>
  <si>
    <t>CAP RAD ELEC 100UF 20% 16V P=2.5mm 5*7mm 85℃ "FUJICON" RM1C101M-TSD07WP00 "ROHS"</t>
  </si>
  <si>
    <t>100uF/16V</t>
  </si>
  <si>
    <t>E66_1, E66_2</t>
  </si>
  <si>
    <t>CAP RAD ELEC 470UF 20% 16V 8*9mm P=3.5mm "TOPAZ" ERE1C471M080900B"ROHS"</t>
  </si>
  <si>
    <t>470uF/16V</t>
  </si>
  <si>
    <t>ELE.15/.3</t>
  </si>
  <si>
    <t>E16</t>
  </si>
  <si>
    <t>CAP SMD  ELEC 100UF 20% 25V  6*7.7mm 105℃ HONOR" RVT1E101M0607 "ROHS"</t>
  </si>
  <si>
    <t>100uF 25V</t>
  </si>
  <si>
    <t>ERB6.3X7.7</t>
  </si>
  <si>
    <t>E8, E9, E12, E13, E141, E143</t>
  </si>
  <si>
    <t>CAP SMD ELEC 0.47UF 20% 50V 4*5.5mm 150℃ "LICON" CK1HR47M-CRC54 "ROHS"</t>
  </si>
  <si>
    <t>0.47uF/16V</t>
  </si>
  <si>
    <t>E61_1, E61_2, E63_1, E63_2, E72_1, E72_2, E73_1, E73_2</t>
  </si>
  <si>
    <t>CAP SMD ELEC 0.68UF 20% 50V 4*5.5mm "LICON" CK1HR68M-CRC54 "ROHS"</t>
  </si>
  <si>
    <t>0.68uF/50V</t>
  </si>
  <si>
    <t>E62_1, E62_2, E65_1, E65_2</t>
  </si>
  <si>
    <t>CAP SMD ELEC 2.2UF 20% 50V 4*5.5mm "FENGHUA" 82R2LFM0405MS0001T "ROHS"</t>
  </si>
  <si>
    <t>2.2UF/50V</t>
  </si>
  <si>
    <t>E74_1, E74_2</t>
  </si>
  <si>
    <t>CAP SMD ELEC 10UF 4*5.5mm 16V 20%  "ROHS"</t>
  </si>
  <si>
    <t>E71_1, E71_2</t>
  </si>
  <si>
    <t>CAP SMD ELEC ALUMINUM 100UF 20% 16V 6.3*5.5mm  "ROHS"</t>
  </si>
  <si>
    <t>E18</t>
  </si>
  <si>
    <t>721949904A</t>
  </si>
  <si>
    <t>CONNECTOR USB TYPE-C SMD 30V 1.8A "LITK" CF003.13L3.3H3 "ROHS"</t>
  </si>
  <si>
    <t>USB-310-B-SU</t>
  </si>
  <si>
    <t>USB-Tyep C</t>
  </si>
  <si>
    <t>JP2, JP12</t>
  </si>
  <si>
    <t>ZYX</t>
  </si>
  <si>
    <t>DIODE 200MA 70V DUAL SIGNAL D SOT23 SMD "SEMTECH" BAV99 "ROHS"</t>
  </si>
  <si>
    <t>BAV99</t>
  </si>
  <si>
    <t>SOT-23-BAV</t>
  </si>
  <si>
    <t>D69_1, D69_2</t>
  </si>
  <si>
    <t>411010540A</t>
  </si>
  <si>
    <t>DIODE DUAL SURFACE MOUNT SCHOTTKY SOT-23 "NEXPERIA" BAT54S "ROHS"</t>
  </si>
  <si>
    <t>BAT54S</t>
  </si>
  <si>
    <t>D61_1, D61_2, D64_1, D64_2, D68_1, D68_2</t>
  </si>
  <si>
    <t>DIODE SCHOTTKY 40V 1A SOD123 "CJ" DSS24 "ROHS"</t>
  </si>
  <si>
    <t>DSS24</t>
  </si>
  <si>
    <t>D4</t>
  </si>
  <si>
    <t>411005819B</t>
  </si>
  <si>
    <t>DIODE SCHOTTKY 40V 1A SOD123 "MIC" B5819W "ROHS"</t>
  </si>
  <si>
    <t>B5819W</t>
  </si>
  <si>
    <t>D36</t>
  </si>
  <si>
    <t>DIODE SMD SOT-23 "NANJING" NJ3401 "ROHS"</t>
  </si>
  <si>
    <t>NJ3401</t>
  </si>
  <si>
    <t>Q2</t>
  </si>
  <si>
    <t>411004148A</t>
  </si>
  <si>
    <t>DIODE ZENE SOD-323 "DIODES" 1N4148WS-7-F "ROHS"</t>
  </si>
  <si>
    <t>1N4148WS-7-F</t>
  </si>
  <si>
    <t>SOD-323</t>
  </si>
  <si>
    <t>D3, D111, D112, D113</t>
  </si>
  <si>
    <t>411000051B</t>
  </si>
  <si>
    <t>DIODE ZENER SMD SOD323 5.1V "DIODES" BZT52C5V1S"ROHS"</t>
  </si>
  <si>
    <t>BZT52C5V1S</t>
  </si>
  <si>
    <t>D1</t>
  </si>
  <si>
    <t>E-CAP SMD 5X5.5  47uF 16V 20% "ROHS"</t>
  </si>
  <si>
    <t>47UF/16V</t>
  </si>
  <si>
    <t>E69_1, E69_2, E70_1, E70_2, E75_1, E75_2</t>
  </si>
  <si>
    <t>E-CAP SMD 8X10.5  1000uF 6.3V 20% "HONOR" RVT0J102M0810 "ROHS"</t>
  </si>
  <si>
    <t>1000uF/6.3V</t>
  </si>
  <si>
    <t>ERB8X10.5</t>
  </si>
  <si>
    <t>E68_1, E68_2</t>
  </si>
  <si>
    <t>EG4A20NG88 QFN88</t>
  </si>
  <si>
    <t>EG4A20NG88</t>
  </si>
  <si>
    <t>QFN40P1000X1000X80_HS-89N</t>
  </si>
  <si>
    <t>U8</t>
  </si>
  <si>
    <t>SZH</t>
  </si>
  <si>
    <t>ELE CAP 470uF 16V 20% 85℃ ( 8X 12 脚距3.5MM）ELE.15/.3 "ROHS"'</t>
  </si>
  <si>
    <t>E15</t>
  </si>
  <si>
    <t>HEADER 2*5PIN P=2.54mm MALE "SHENGPIN" 1243122X05CNGOS110501 "ROHS"</t>
  </si>
  <si>
    <t>HEAD5X2-2.54</t>
  </si>
  <si>
    <t>HDR2.54-LI-2x5P</t>
  </si>
  <si>
    <t>JP13</t>
  </si>
  <si>
    <t>310202466/A</t>
  </si>
  <si>
    <t>IC ANLG SW DATA/AUD DPDT 2:2  16-UMLP FSA2466UMX "ON" "ROHS"</t>
  </si>
  <si>
    <t>FSA2466UMX</t>
  </si>
  <si>
    <t>U69_1, U69_2</t>
  </si>
  <si>
    <t>ON SEMI</t>
  </si>
  <si>
    <t>309-310201679</t>
  </si>
  <si>
    <t>IC AUDIO AMP 4 CIRCUIT WQFN-16 "TI" OPA1679IRUMR "ROHS"</t>
  </si>
  <si>
    <t>OPA1679IRUMR</t>
  </si>
  <si>
    <t>WQFN-16_L4.0-W4.0-P0.65-BL-EP</t>
  </si>
  <si>
    <t>U63_1, U63_2, U64_1, U64_2, U67_1, U67_2, U68_1, U68_2, U70_1, U70_2, U71_1, U71_2, U167, U171, U603, U604, U607</t>
  </si>
  <si>
    <t>Usage increase from 11pcs to 17pcs</t>
  </si>
  <si>
    <t>IC DMP8 "JRC" NJM2122M "ROHS"</t>
  </si>
  <si>
    <t>NJM2122M</t>
  </si>
  <si>
    <t>SO-8</t>
  </si>
  <si>
    <t>U66_1, U66_2</t>
  </si>
  <si>
    <t>longjoin</t>
  </si>
  <si>
    <t>IC HEX INVERTERS SOIC-14 "TI" SN74AHC04DR "ROHS"</t>
  </si>
  <si>
    <t>IC_SN74AHC04_SO-14</t>
  </si>
  <si>
    <t>SO-14</t>
  </si>
  <si>
    <t>U14</t>
  </si>
  <si>
    <t>IC INVERTER DUAL SCHMITT SC70-6 "ON SEMI" NC7WZ14P6X "ROHS"</t>
  </si>
  <si>
    <t>NC7WZ14P6X</t>
  </si>
  <si>
    <t>SOT-363</t>
  </si>
  <si>
    <t>U20</t>
  </si>
  <si>
    <t>WF</t>
  </si>
  <si>
    <t>IC LN DUAL OP.AMP.DMP8 SMD "木瓜"RT6863S "ROHS"</t>
  </si>
  <si>
    <t>RT6863S</t>
  </si>
  <si>
    <t>SOP-8 EP</t>
  </si>
  <si>
    <t>U166</t>
  </si>
  <si>
    <t>Different  reference, we might change back to NJM5532</t>
  </si>
  <si>
    <t>IC Overvoltage protection SMD 36V 5A SOT23-6 "ETA"  ETA7014S2G "ROHS"</t>
  </si>
  <si>
    <t>ETA7014S2G</t>
  </si>
  <si>
    <t>U1</t>
  </si>
  <si>
    <t>IC RESET OP SOT-23 "CONSONANCE" CN809R "ROHS"</t>
  </si>
  <si>
    <t>CN809R</t>
  </si>
  <si>
    <t>U18</t>
  </si>
  <si>
    <t>IC SMD MCU QFN64 GD32F303RET6  "ROHS"</t>
  </si>
  <si>
    <t>GD32F303RET6</t>
  </si>
  <si>
    <t>U4</t>
  </si>
  <si>
    <t>new</t>
  </si>
  <si>
    <t>见附件规格书</t>
  </si>
  <si>
    <t>IC SMD SO-8 "SGMC" SGM8967-2XS8G/TR "ROHS"</t>
  </si>
  <si>
    <t>SGM8967-2XS8S/TR</t>
  </si>
  <si>
    <t>SOP-8</t>
  </si>
  <si>
    <t>U72_1, U72_2</t>
  </si>
  <si>
    <r>
      <rPr>
        <sz val="10"/>
        <rFont val="Microsoft YaHei UI"/>
        <family val="2"/>
        <charset val="134"/>
      </rPr>
      <t>new,</t>
    </r>
    <r>
      <rPr>
        <b/>
        <sz val="10"/>
        <rFont val="Microsoft YaHei UI"/>
        <family val="2"/>
        <charset val="134"/>
      </rPr>
      <t xml:space="preserve"> UA is considering using TLV2365DR （U/P - 0.7-0.8usd）</t>
    </r>
  </si>
  <si>
    <t>IC SMD TQFN-3×3-16L "SGM"  SGM4519XTQ16G/TR "ROHS"</t>
  </si>
  <si>
    <t>SGM4519XTQ16G/TR</t>
  </si>
  <si>
    <t>TQFN-16L -1</t>
  </si>
  <si>
    <t>U61_1, U61_2, U62_1, U62_2</t>
  </si>
  <si>
    <t>IC STEP-DOWN CONVERTER SMD 18V 2A SOT23-6 "TMI"  TMI3281"ROHS"</t>
  </si>
  <si>
    <t>TMI3281</t>
  </si>
  <si>
    <t>U11</t>
  </si>
  <si>
    <t>XZKJ</t>
  </si>
  <si>
    <t>IC STEP-DOWN CONVERTER SMD 30V 1.2A SOT23-6 "TMI"  TMI3359"ROHS"</t>
  </si>
  <si>
    <t>TMI3359</t>
  </si>
  <si>
    <t>U6</t>
  </si>
  <si>
    <t>IC ULPI High-Speed USB PHY (Transceiver) QFN32 ""WCH"" CH132B ""ROHS""</t>
  </si>
  <si>
    <t>CH132B</t>
  </si>
  <si>
    <t>QFN32_5X5</t>
  </si>
  <si>
    <t>U9</t>
  </si>
  <si>
    <t>INDUCTOR 6*6*2.8mm 4.7UH 3.55A "HCS" HNR6028-4R7N "ROHS"</t>
  </si>
  <si>
    <t>4.7uH</t>
  </si>
  <si>
    <t>SCB_6028</t>
  </si>
  <si>
    <t>L7</t>
  </si>
  <si>
    <t>HCS</t>
  </si>
  <si>
    <t>INDUCTOR SMD 7*6.5*5mm 4.7UH 6A "HCS" HSA0650-4R7M-T "ROHS"</t>
  </si>
  <si>
    <t>SJNC0650</t>
  </si>
  <si>
    <t>L6</t>
  </si>
  <si>
    <t>511132022A</t>
  </si>
  <si>
    <t>INDUCTOR SMD 2.2UH 20% 4A 4.3*4*2mm "HCS" HSA0420-2R2M-H1 "ROHS"</t>
  </si>
  <si>
    <t>2.2uH</t>
  </si>
  <si>
    <t>SCB4020</t>
  </si>
  <si>
    <t>L3, L5</t>
  </si>
  <si>
    <t>INDUCTOR SMD 4.7UH 20% 2.5A 4.3*4*2mm "HCS" HSA0420-4R7M-T "ROHS"</t>
  </si>
  <si>
    <t>L1</t>
  </si>
  <si>
    <t>INDUCTOR SMD 0805 90R "EMTEK" CMF2012F-900-2P-T "ROHS"</t>
  </si>
  <si>
    <t>CMF2012F-900-2P-T</t>
  </si>
  <si>
    <t>FILTER-SMD_2012-4P-L2.0-W1.2-BL</t>
  </si>
  <si>
    <t>L2</t>
  </si>
  <si>
    <t>EMTEK</t>
  </si>
  <si>
    <t>INDUCTOR SMD 7*6.5*5mm 10UH ±20% 4A "HCS" HSA0650-100M-T "ROHS"</t>
  </si>
  <si>
    <t>L9</t>
  </si>
  <si>
    <t>MOSFET 2N-CH 60V 0.23A 310mW SOT363 "DIODES" 2N7002DW-7-F "ROHS"</t>
  </si>
  <si>
    <t>2N7002DW-7-F</t>
  </si>
  <si>
    <t>Q67, Q68, Q71, Q72</t>
  </si>
  <si>
    <t>MOSFET SMD SOT-23 20V 2.1A "CHANGJIANG" CJ2302S "ROHS"</t>
  </si>
  <si>
    <t>CJ2302S</t>
  </si>
  <si>
    <t>Q57, Q58, Q59, Q60</t>
  </si>
  <si>
    <t>SIP4(NF)</t>
  </si>
  <si>
    <t>SIP4</t>
  </si>
  <si>
    <t>CN1</t>
  </si>
  <si>
    <t>OPTOISOLATOR 3.75KV TRANS SOP4 "EVERLIGHT" EL357NC(TA)-G "ROHS"</t>
  </si>
  <si>
    <t>EL357NC(TA)-G</t>
  </si>
  <si>
    <t>SOL-4</t>
  </si>
  <si>
    <t>PC1</t>
  </si>
  <si>
    <t>详见附件规格书</t>
  </si>
  <si>
    <t>PHONE JACK 10PIN 3.5mm " SSCX1X2-0D35(双层耳机插座） "ROHS"</t>
  </si>
  <si>
    <t>SSCX1X2-0D35(双层耳机插座）</t>
  </si>
  <si>
    <t>PJ-3520X2</t>
  </si>
  <si>
    <t>JP1</t>
  </si>
  <si>
    <t>SSCX</t>
  </si>
  <si>
    <t>TRANS SMD SOT-23-BAV TKMP2333L "ROHS"</t>
  </si>
  <si>
    <t>TKMP2333L</t>
  </si>
  <si>
    <t>Q1</t>
  </si>
  <si>
    <t>TKM</t>
  </si>
  <si>
    <t xml:space="preserve"> JLC : C3235557</t>
  </si>
  <si>
    <t>TPS2116DRLR JLC : C3235557</t>
  </si>
  <si>
    <t>TPS2116DRLR</t>
  </si>
  <si>
    <t>SOT-583-8_L2.1-W1.6-P0.50-LS1.6-BL</t>
  </si>
  <si>
    <t>U3</t>
  </si>
  <si>
    <t>411010020A</t>
  </si>
  <si>
    <t>TRANS SMD NPN 300V 0.5A SOT-23 "ON SEMI" MMBZ20VALT1G"ROHS"SEMI" MMBZ20VALT1G"ROHS"</t>
  </si>
  <si>
    <t>MMBZ20VALT1G</t>
  </si>
  <si>
    <t>ESD4, ESD5, ESD8, ESD9, ESD22, ESD23</t>
  </si>
  <si>
    <t>TRANS SMD SOT-23 B.E.C NPN "ON SEMI" MMBTA06LT1G "ROHS"</t>
  </si>
  <si>
    <t>MMBTA06LT1G</t>
  </si>
  <si>
    <t>SOT-23</t>
  </si>
  <si>
    <t>Q62_1, Q62_2, Q63_1, Q63_2</t>
  </si>
  <si>
    <t>TRANS SMD SOT-23 B.E.C PNP "ON SEMI" MMBTA56LT1G "ROHS"</t>
  </si>
  <si>
    <t>MMBTA56LT1G</t>
  </si>
  <si>
    <t>Q61_1, Q61_2</t>
  </si>
  <si>
    <t>TRANS SMD SOT-23 XTR SS PNP 300MHz "NEXPERIA" MMBT3906/PMBT3906,215 "ROHS"</t>
  </si>
  <si>
    <t>MMBT3906</t>
  </si>
  <si>
    <t>Q65, Q66</t>
  </si>
  <si>
    <t>TVS DIODE 3V3 SOD323 "PULSETAKE" PT3C031V "ROHS"</t>
  </si>
  <si>
    <t>PT3C031V</t>
  </si>
  <si>
    <t>ESD1, ESD20</t>
  </si>
  <si>
    <t>MKS</t>
  </si>
  <si>
    <t>速唯 SW-D11-BL01</t>
  </si>
  <si>
    <t>SW-D11-BL01</t>
  </si>
  <si>
    <t>SW1</t>
  </si>
  <si>
    <t>SUWEI</t>
  </si>
  <si>
    <t>061152311</t>
  </si>
  <si>
    <t>CABLE USB TYPE-C TO TYPE-C2.0 WITH TYPE-A FEMALE L=1500mm BLACK "ZHIZE"</t>
  </si>
  <si>
    <t>ZHIZE</t>
  </si>
  <si>
    <t>Remove from PCBA BOM, put it  in the packaging BOM as acessary</t>
  </si>
  <si>
    <t>PCB</t>
  </si>
  <si>
    <t xml:space="preserve">沉金 黑油 101*170mm  6层板 </t>
  </si>
  <si>
    <t>Material Cost</t>
  </si>
  <si>
    <t>UAI22（RIO2)_MainBoard_BOM_V0.01_11122025 BOM</t>
  </si>
  <si>
    <t>UA电路删除元件</t>
  </si>
  <si>
    <t>R112_1, R112_2 R353 355 471 472</t>
  </si>
  <si>
    <t>UA电路增加元件数量</t>
  </si>
  <si>
    <t>2025/11/12更新</t>
  </si>
  <si>
    <t>R161_1, R161_2, R165_1, R165_2, R167_1, R167_2</t>
  </si>
  <si>
    <t>UA电路删除1PCS元件</t>
  </si>
  <si>
    <t>R156_1, R156_2, R157_1, R157_2, R160_1, R160_2, R162_1, R162_2, R170_1, R170_2, R171_1, R171_2</t>
  </si>
  <si>
    <t>UA电路删除8PCS元件</t>
  </si>
  <si>
    <t>RES SMD 0603 1/10W 0.5% 1.33K  THIN FILM "ROHS"</t>
  </si>
  <si>
    <t>1.33K  0.5%</t>
  </si>
  <si>
    <t>R115_1, R115_2, R130_1, R130_2,</t>
  </si>
  <si>
    <t>RES SMD 0603 1/10W 0.5% 2.74K THIN FILM  "ROHS"</t>
  </si>
  <si>
    <t>2.74K  0.5%</t>
  </si>
  <si>
    <t>RES SMD 0603 1/10W 0.5% 3.32K THIN FILM "ROHS"</t>
  </si>
  <si>
    <t>3.32K 0.5%</t>
  </si>
  <si>
    <t>RES SMD 0603 1/10W 0.5% 10R  "ROHS"</t>
  </si>
  <si>
    <t>10R 0.5%</t>
  </si>
  <si>
    <t>RES SMD 0603 1/10W 0.5% 1R  "ROHS"</t>
  </si>
  <si>
    <t>1R   0.5%</t>
  </si>
  <si>
    <t>R345 352 465 469</t>
  </si>
  <si>
    <t>RES SMD 0603 1/10W 0.5% 562R THIN FILM "ROHS"</t>
  </si>
  <si>
    <t>562R  0.5%</t>
  </si>
  <si>
    <t>RES SMD 0603 1/10W 0.5% 681R  "ROHS"</t>
  </si>
  <si>
    <t>681R   0.5%</t>
  </si>
  <si>
    <t>RES SMD 0603 1/10W 0.5% 750R THIN FILM"ROHS"</t>
  </si>
  <si>
    <t>750R   0.5%</t>
  </si>
  <si>
    <t>R12,</t>
  </si>
  <si>
    <t>RES THIN FILM SMD 0603 1/10W 0.5% 301R "ROHS"</t>
  </si>
  <si>
    <t>301R</t>
  </si>
  <si>
    <t xml:space="preserve">R338 R350 R357 R467 </t>
  </si>
  <si>
    <t>RES SMD 0603 100mW 0.5% 4.75K Thin "ROHS"</t>
  </si>
  <si>
    <t>4.75K</t>
  </si>
  <si>
    <t>UA电路增加元件</t>
  </si>
  <si>
    <t>RES THN SMD 0603 1/10W 0.5% 12K "ROHS"</t>
  </si>
  <si>
    <t>1.2K  0.5%</t>
  </si>
  <si>
    <t>UA电路修改元件</t>
  </si>
  <si>
    <t>RES THN SMD 0603 1/10W 0.5% 1.62K  "ROHS"</t>
  </si>
  <si>
    <t>1.62K  0.5%</t>
  </si>
  <si>
    <t>R341 351 461 468</t>
  </si>
  <si>
    <t>RES THIN FILM SMD 0603 1/10W 1.8K 0.1% 25PPM  "ROHS"</t>
  </si>
  <si>
    <t>1.8K</t>
  </si>
  <si>
    <t>2025/11/12新增</t>
  </si>
  <si>
    <t>RES THIN FILM SMD 0603 1/10W 200R 0.1% 25PPM   "ROHS"</t>
  </si>
  <si>
    <t>200R</t>
  </si>
  <si>
    <t>CAP SMD 0402 CER 100NF 10% 50V X7R "YAGEO" CC0402KRX7R9BB104 "ROHS"</t>
  </si>
  <si>
    <t>CAP SMD 0402 CER 100NF 10% 25V X7R "ROHS"</t>
  </si>
  <si>
    <t>C11, C14, C15, C16, C18, C21, C23, C26, C27, C29, C31, C32, C34, C37, C41, C49, C50, C52, C54, C78, C88_1, C91_1, C615, C623, C635, C639, C646, C658, C659, C660, C662, C663, C664, C882, C886 C895，C62_1, C62_2, C63_1, C63_2, C65_1, C65_2, C66_1, C66_2, C76_1, C77_2, C79_1, C79_2, C87_1, C87_2, C88_2, C91_2, C92_1, C92_2, C93_1, C93_2</t>
  </si>
  <si>
    <t>2025/11/11更新</t>
  </si>
  <si>
    <t>CAP SMD 0402 CER 1uF 10% 25V X5R  "ROHS"</t>
  </si>
  <si>
    <t>C62，C601, C604, C605, C607</t>
  </si>
  <si>
    <t>C611, C617,</t>
  </si>
  <si>
    <t>C118_1, C118_2, C119_1, C119_2, C120_1, C120_2,C602, C606, C608, C609</t>
  </si>
  <si>
    <t>CAP SMD 0603 2.2UF 16V 10% X5R CER "ROHS"</t>
  </si>
  <si>
    <t>CAP SMD 0603 CER 10UF 20% 16V X5R "ROHS"</t>
  </si>
  <si>
    <t>10uf</t>
  </si>
  <si>
    <t>CAP SMD 0603 1UF 16V 10%  X7R "ROHS"</t>
  </si>
  <si>
    <t>C610, C613, C616, C625,  C650</t>
  </si>
  <si>
    <t>CAP SMD CER 0603 1NF 5% 25V NPO  "ROHS"</t>
  </si>
  <si>
    <t>C150 C156 C211 C216</t>
  </si>
  <si>
    <t>CAP SMD 0603 CER 330PF 5% 50V NPO "ROHS"</t>
  </si>
  <si>
    <t>C159  C211</t>
  </si>
  <si>
    <t>C17, C19, C22, C24, C28, C30, C40, C42, C51, C53, C55, C633, C640, C847, C848,C33, C38</t>
  </si>
  <si>
    <t>Cap Cera 22uF 25V 20% X5R 0805</t>
  </si>
  <si>
    <t>CAP SMD 1206 CER 2.2UF 20% 100V X7R "ROHS"</t>
  </si>
  <si>
    <t>IC CSTSTEREO AUDIO CODEC 32 BIT 768KHz SM "CIRRUS LOGIC" CS4282 "ROHS"</t>
  </si>
  <si>
    <t>Change CODEC to CS4282</t>
  </si>
  <si>
    <t>IC SMD CONVERTOR CODEC TAD5212</t>
  </si>
  <si>
    <t>Change CODEC to TAD5212</t>
  </si>
  <si>
    <t>HTR</t>
  </si>
  <si>
    <t>DIODE SMD SOD-123FL "GD" FS1B "ROHS"</t>
  </si>
  <si>
    <t>CRYSTAL SMD 3.2*2.5mm 24.576MHZ 10PF±10PPM "JSCC" C3SB24.576F10E12 "ROHS"</t>
  </si>
  <si>
    <t>CRYSTAL SMD 3.2*2.5mm 22.5792MHZ 12PF/10PPM "JSCC" C3SB22.579F12E12 "ROHS"</t>
  </si>
  <si>
    <t>CRYSTAL SMD 24MHZ 10PF ±10PPM 3225 "JSCC" C3SB24.000F10E12 "ROHS"</t>
  </si>
  <si>
    <t>Update unit price</t>
  </si>
  <si>
    <t>JACK STEREO 12PIN 6.35mm  "SSCX" CK6.35-065WSX2</t>
  </si>
  <si>
    <t>CK6.35-065WSX2</t>
  </si>
  <si>
    <t>XLR CONNECTOR 1/4" STEREO 11PIN "REAN" RRXJ10F-A-001 "ROHS"</t>
  </si>
  <si>
    <t>211211107B</t>
  </si>
  <si>
    <t>CAP ELEC 100uF 20% 16V 6.3*5.4mm 105℃ "HONOR" RVT1C101M0605 "ROHS"</t>
  </si>
  <si>
    <t>100uf 16v</t>
  </si>
  <si>
    <t>ERB6.3*5.4</t>
  </si>
  <si>
    <t>E8, E9, E12, E13, E141, E143，E18</t>
  </si>
  <si>
    <t>411004148G</t>
  </si>
  <si>
    <t>DIODE SMD FAST SWITCH SOD-323 "CTK" TK1N4148WS "ROHS"</t>
  </si>
  <si>
    <t>TK1N4148WS</t>
  </si>
  <si>
    <t>310202466A</t>
  </si>
  <si>
    <t>IC ANLG SW DATA/AUD DPDT 2:2 UMLP16 "SGMICRO" SGM3799YTQA16/TR "ROHS</t>
  </si>
  <si>
    <t>SGM3799YTQA16/TR</t>
  </si>
  <si>
    <t>2025/11/11更新 供应商报价0.154美金</t>
  </si>
  <si>
    <t>U21, U22, U27,  U30, U34, U35,U40, U42,(8PCS 610), U29(inst), U26, U39(2pcs input),   U54, U55(dac)</t>
  </si>
  <si>
    <r>
      <t>按UA建议优化输入/输出电路删除3个opa
Optimize the input/output circuit, remove 3 OPA ,</t>
    </r>
    <r>
      <rPr>
        <sz val="10"/>
        <color rgb="FF0070C0"/>
        <rFont val="Microsoft YaHei UI"/>
        <family val="2"/>
        <charset val="134"/>
      </rPr>
      <t>The DAC selected is TAD5212, and U57 is to be removed. remove 4 OPA</t>
    </r>
  </si>
  <si>
    <t xml:space="preserve">U21, U22, U27,  U30, U34, U35,U40, U42,(8PCS 610), U29(inst), U26, U39(2pcs input),   U54, U55,(dac) </t>
  </si>
  <si>
    <t>IC SMD SOIC8 "TI" NE5532ADR "ROHS"</t>
  </si>
  <si>
    <t>NE5532ADR</t>
  </si>
  <si>
    <t>更改耳机放大器电路
Update the circuit for the HP AMPLIFIER</t>
  </si>
  <si>
    <t>NEW</t>
  </si>
  <si>
    <t>TRANS NPN-PNP 30V 1.5A SOT23-6 "DIODES" ZXTC2045E6TA "ROHS"</t>
  </si>
  <si>
    <t>ZXTC2045E6TA</t>
  </si>
  <si>
    <t xml:space="preserve">NEW </t>
  </si>
  <si>
    <t>IC FLASH 64MBIT 2.7V-3.6V SOP8 MH22D3RMU6</t>
  </si>
  <si>
    <t>IC SMD SO-8 "TI" TLV2365DR "ROHS"</t>
  </si>
  <si>
    <t>TLV2365DR</t>
  </si>
  <si>
    <r>
      <rPr>
        <strike/>
        <sz val="10"/>
        <color rgb="FFFF0000"/>
        <rFont val="Microsoft YaHei UI"/>
        <family val="2"/>
        <charset val="134"/>
      </rPr>
      <t xml:space="preserve">按UA建议优化OPA </t>
    </r>
    <r>
      <rPr>
        <strike/>
        <sz val="10"/>
        <color rgb="FF0070C0"/>
        <rFont val="Microsoft YaHei UI"/>
        <family val="2"/>
        <charset val="134"/>
      </rPr>
      <t>删除</t>
    </r>
    <r>
      <rPr>
        <strike/>
        <sz val="10"/>
        <color rgb="FFFF0000"/>
        <rFont val="Microsoft YaHei UI"/>
        <family val="2"/>
        <charset val="134"/>
      </rPr>
      <t xml:space="preserve">
Optimize the OPA  </t>
    </r>
  </si>
  <si>
    <r>
      <rPr>
        <strike/>
        <sz val="10"/>
        <color rgb="FFFF0000"/>
        <rFont val="Microsoft YaHei UI"/>
        <family val="2"/>
        <charset val="134"/>
      </rPr>
      <t>new,</t>
    </r>
    <r>
      <rPr>
        <b/>
        <strike/>
        <sz val="10"/>
        <color rgb="FFFF0000"/>
        <rFont val="Microsoft YaHei UI"/>
        <family val="2"/>
        <charset val="134"/>
      </rPr>
      <t xml:space="preserve"> UA is considering using TLV2365DR </t>
    </r>
  </si>
  <si>
    <t>SGM2543BXTVK12G/TR</t>
  </si>
  <si>
    <t>421000006A</t>
  </si>
  <si>
    <t>TRANS SMD SOT-23 NPN "CHANGJIANG" MMBTA06 "ROHS"</t>
  </si>
  <si>
    <t>MMBTA06</t>
  </si>
  <si>
    <t>421000056A</t>
  </si>
  <si>
    <t>TRANS SMD SOT-23 B.E.C PNP "CHANGJIANG" MMBTA56LT1 "ROHS"</t>
  </si>
  <si>
    <t>421013906H</t>
  </si>
  <si>
    <t>TRANS SMD SOT23 PNP "CTK" TKMMBT3906 "ROHS"</t>
  </si>
  <si>
    <t>TKMMBT3906</t>
  </si>
  <si>
    <t>速唯 SW-RS-1210</t>
  </si>
  <si>
    <t>SW-RS-1210</t>
  </si>
  <si>
    <t>2025/11/11更新 供应商报1.5RMB</t>
  </si>
  <si>
    <t>沉金 黑油 101*170mm  6层板</t>
  </si>
  <si>
    <t>UAI22 (RIO2 4)_PanelBoard_V0.01_11122025 BOM</t>
  </si>
  <si>
    <t>R23, R269 R25, R277, R278</t>
  </si>
  <si>
    <t>RES SMD 1206 1/4W 1% 10R "ROHS"</t>
  </si>
  <si>
    <t>10R</t>
  </si>
  <si>
    <t>R270</t>
  </si>
  <si>
    <t>R271 R272</t>
  </si>
  <si>
    <t>RES SMD 0402 1/16W 1% 62K  "ROHS"</t>
  </si>
  <si>
    <t>62K</t>
  </si>
  <si>
    <t>R273</t>
  </si>
  <si>
    <t>RES SMD 0402 1/16W 1% 40.2K "ROHS"</t>
  </si>
  <si>
    <t>40.2K</t>
  </si>
  <si>
    <t>R274</t>
  </si>
  <si>
    <t>R275 R276</t>
  </si>
  <si>
    <t>CAP SMD 0402 CER 1UF 10% 25V X5R  "ROHS"</t>
  </si>
  <si>
    <t>C29, C30, C31, C106, C126, C134</t>
  </si>
  <si>
    <t>C127, C128, C131, C133 C136, C140</t>
  </si>
  <si>
    <t>C130 C139</t>
  </si>
  <si>
    <t>CAP SMD 0805 CER 22UF 20% 25V X5R "SAMSUNG" CL21A226MAQNNNE "ROHS"</t>
  </si>
  <si>
    <t>C135, C138 C129, C132</t>
  </si>
  <si>
    <t>411004148D</t>
  </si>
  <si>
    <t>DIODE SMD FAST SWITCH SOD-323 "NANJING" 1N4148WS "ROHS"</t>
  </si>
  <si>
    <t>1N4148WS</t>
  </si>
  <si>
    <t>D5, D6, D7, D8, D9, D10, D11, D12, D13</t>
  </si>
  <si>
    <t>114036000A</t>
  </si>
  <si>
    <t>FERRITE BEAD SMD 0402 600R@100MHZ 1.1DCR 1A "SUNLORD" SZ1005K601CTF "ROHS"</t>
  </si>
  <si>
    <t>SZ1005K601CTF</t>
  </si>
  <si>
    <t>FB9, FB10, FB13, FB14, FB15, FB16</t>
  </si>
  <si>
    <t>0.3mm 间距 25pin  0310-25 CL-GF "SHENGPIN" 翻盖FPC座</t>
  </si>
  <si>
    <t>CON25</t>
  </si>
  <si>
    <t>JP5</t>
  </si>
  <si>
    <t>ENCODER L=18.5mm 5VDC "SOUNDWELL" EC110202R2B-HA1-000 "ROHS"</t>
  </si>
  <si>
    <t>EC110202R2B-HA1-000</t>
  </si>
  <si>
    <t>ES1114-1V-15F-302</t>
  </si>
  <si>
    <t>K1</t>
  </si>
  <si>
    <t>SOUNDWELL</t>
  </si>
  <si>
    <t>INDUCTOR SMD 2.5*2*1.2mm 1UH ±20% 3A "SUNLORD" WPN252012H1R0MT "ROHS"</t>
  </si>
  <si>
    <t>1uH</t>
  </si>
  <si>
    <t>L2520</t>
  </si>
  <si>
    <t>L4, L11</t>
  </si>
  <si>
    <t>IBT</t>
  </si>
  <si>
    <t>ROUND TFT LCD MODULE 1.28" 240RGB*240DOTS  "TUODA" LH128R-IF10 "ROHS"</t>
  </si>
  <si>
    <t>TFT</t>
  </si>
  <si>
    <t>LCD1</t>
  </si>
  <si>
    <t>TUODA</t>
  </si>
  <si>
    <t>Costdown from supplier</t>
  </si>
  <si>
    <t>MOQ&lt;5000 1.828 美金
MOQ&gt;10000   1.7143美金</t>
  </si>
  <si>
    <t>LED SMD 0805*2 RED/GREEN/BLUE WITH IC "JASIONAL" JX-SP170UBRGC-FHC05A-IC "ROHS"</t>
  </si>
  <si>
    <t>JX-SP170UBRGC-FHC05A-IC</t>
  </si>
  <si>
    <t>JX-SP170UBRGC</t>
  </si>
  <si>
    <t>LED1, LED2, LED3, LED4, LED5, LED6</t>
  </si>
  <si>
    <t>CONNECTOR SMD 2*15PIN P=2.0mm H=2.2mm "SHENGPIN" 23220215CNG0MUP01 "ROHS"</t>
  </si>
  <si>
    <t>23220215CNG0MUP01</t>
  </si>
  <si>
    <t>P5</t>
  </si>
  <si>
    <t>TACTILE SWITCH SMD SPST 2PIN 6.1*3.7mm H=2.5mm "MINGJIACHUANGXIN" 6X3.7X2.5W-TP-000-150g "ROHS"</t>
  </si>
  <si>
    <t>TS-1107</t>
  </si>
  <si>
    <t>TS-1101</t>
  </si>
  <si>
    <t>SW2, SW3, SW4, SW5, SW6, SW7</t>
  </si>
  <si>
    <t>MJCX</t>
  </si>
  <si>
    <t>IC DC CONVERTOR SOT23-5 IN 2.5V-5.5V "RYCHIP" RY3420 "ROHS"</t>
  </si>
  <si>
    <t>U5, U23</t>
  </si>
  <si>
    <t>pcb</t>
  </si>
  <si>
    <t>无铅喷锡 黑油 40*76.85mm 双层板 双面丝印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</si>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</sst>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$#,##0.0000_);[Red]\(\$#,##0.0000\)"/>
    <numFmt numFmtId="177" formatCode="\$#,##0.0000;\-\$#,##0.0000"/>
    <numFmt numFmtId="179" formatCode="0.0000_ "/>
    <numFmt numFmtId="180" formatCode="0.00_ "/>
  </numFmts>
  <fonts count="26" x14ac:knownFonts="1">
    <font>
      <sz val="12"/>
      <name val="宋体"/>
      <charset val="134"/>
    </font>
    <font>
      <b/>
      <sz val="10"/>
      <name val="Microsoft YaHei UI"/>
      <charset val="134"/>
    </font>
    <font>
      <sz val="10"/>
      <name val="Microsoft YaHei UI"/>
      <charset val="134"/>
    </font>
    <font>
      <sz val="10"/>
      <color theme="8"/>
      <name val="Microsoft YaHei UI"/>
      <charset val="134"/>
    </font>
    <font>
      <strike/>
      <sz val="10"/>
      <name val="Microsoft YaHei UI"/>
      <charset val="134"/>
    </font>
    <font>
      <b/>
      <sz val="24"/>
      <name val="Microsoft YaHei UI"/>
      <charset val="134"/>
    </font>
    <font>
      <b/>
      <sz val="9"/>
      <name val="Microsoft YaHei UI"/>
      <charset val="134"/>
    </font>
    <font>
      <sz val="10"/>
      <color rgb="FF30C0B4"/>
      <name val="Microsoft YaHei UI"/>
      <charset val="134"/>
    </font>
    <font>
      <sz val="12"/>
      <color rgb="FF30C0B4"/>
      <name val="宋体"/>
      <charset val="134"/>
    </font>
    <font>
      <strike/>
      <sz val="10"/>
      <color theme="5"/>
      <name val="Microsoft YaHei UI"/>
      <charset val="134"/>
    </font>
    <font>
      <sz val="10"/>
      <color theme="5"/>
      <name val="Microsoft YaHei UI"/>
      <charset val="134"/>
    </font>
    <font>
      <sz val="10"/>
      <color rgb="FF000000"/>
      <name val="Microsoft YaHei UI"/>
      <charset val="134"/>
    </font>
    <font>
      <strike/>
      <sz val="10"/>
      <color rgb="FFFF0000"/>
      <name val="Microsoft YaHei UI"/>
      <charset val="134"/>
    </font>
    <font>
      <b/>
      <strike/>
      <sz val="10"/>
      <name val="Microsoft YaHei UI"/>
      <charset val="134"/>
    </font>
    <font>
      <sz val="10"/>
      <color rgb="FFFF0000"/>
      <name val="Microsoft YaHei UI"/>
      <charset val="134"/>
    </font>
    <font>
      <sz val="10"/>
      <color rgb="FF5B9BD5"/>
      <name val="Microsoft YaHei UI"/>
      <charset val="134"/>
    </font>
    <font>
      <sz val="10"/>
      <name val="Arial"/>
      <family val="2"/>
    </font>
    <font>
      <sz val="11"/>
      <name val="宋体"/>
      <charset val="134"/>
      <scheme val="minor"/>
    </font>
    <font>
      <sz val="10"/>
      <name val="MingLiU"/>
      <charset val="136"/>
    </font>
    <font>
      <sz val="10"/>
      <color rgb="FF0070C0"/>
      <name val="Microsoft YaHei UI"/>
      <family val="2"/>
      <charset val="134"/>
    </font>
    <font>
      <strike/>
      <sz val="10"/>
      <color rgb="FF0070C0"/>
      <name val="Microsoft YaHei UI"/>
      <family val="2"/>
      <charset val="134"/>
    </font>
    <font>
      <b/>
      <strike/>
      <sz val="10"/>
      <color rgb="FFFF0000"/>
      <name val="Microsoft YaHei UI"/>
      <family val="2"/>
      <charset val="134"/>
    </font>
    <font>
      <sz val="9"/>
      <name val="宋体"/>
      <family val="3"/>
      <charset val="134"/>
    </font>
    <font>
      <sz val="10"/>
      <name val="Microsoft YaHei UI"/>
      <family val="2"/>
      <charset val="134"/>
    </font>
    <font>
      <b/>
      <sz val="10"/>
      <name val="Microsoft YaHei UI"/>
      <family val="2"/>
      <charset val="134"/>
    </font>
    <font>
      <strike/>
      <sz val="10"/>
      <color rgb="FFFF0000"/>
      <name val="Microsoft YaHei U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6" fillId="0" borderId="0"/>
    <xf numFmtId="0" fontId="17" fillId="0" borderId="0">
      <alignment vertical="center"/>
    </xf>
    <xf numFmtId="176" fontId="16" fillId="0" borderId="0"/>
    <xf numFmtId="177" fontId="18" fillId="0" borderId="0"/>
  </cellStyleXfs>
  <cellXfs count="7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1" fillId="4" borderId="1" xfId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vertical="center"/>
    </xf>
    <xf numFmtId="0" fontId="2" fillId="4" borderId="1" xfId="1" applyFont="1" applyFill="1" applyBorder="1" applyAlignment="1">
      <alignment horizontal="center" vertical="center"/>
    </xf>
    <xf numFmtId="17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/>
    </xf>
    <xf numFmtId="179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4" fillId="4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9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3" fillId="2" borderId="1" xfId="1" applyFont="1" applyFill="1" applyBorder="1" applyAlignment="1">
      <alignment vertical="center" wrapText="1"/>
    </xf>
    <xf numFmtId="0" fontId="1" fillId="2" borderId="2" xfId="1" applyFont="1" applyFill="1" applyBorder="1" applyAlignment="1">
      <alignment vertical="center"/>
    </xf>
    <xf numFmtId="180" fontId="1" fillId="2" borderId="1" xfId="1" applyNumberFormat="1" applyFont="1" applyFill="1" applyBorder="1" applyAlignment="1">
      <alignment horizontal="center" vertical="center"/>
    </xf>
    <xf numFmtId="179" fontId="1" fillId="5" borderId="1" xfId="1" applyNumberFormat="1" applyFont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0" xfId="0" applyFont="1"/>
    <xf numFmtId="0" fontId="1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left" vertical="center"/>
    </xf>
    <xf numFmtId="0" fontId="9" fillId="0" borderId="1" xfId="1" applyFont="1" applyBorder="1" applyAlignment="1">
      <alignment vertical="center"/>
    </xf>
    <xf numFmtId="0" fontId="4" fillId="6" borderId="1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7" fillId="4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79" fontId="7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11" fillId="0" borderId="1" xfId="1" applyFont="1" applyBorder="1" applyAlignment="1">
      <alignment horizontal="left" vertical="center"/>
    </xf>
    <xf numFmtId="0" fontId="2" fillId="6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/>
    </xf>
    <xf numFmtId="0" fontId="12" fillId="4" borderId="1" xfId="1" applyFont="1" applyFill="1" applyBorder="1" applyAlignment="1">
      <alignment horizontal="center" vertical="center"/>
    </xf>
    <xf numFmtId="179" fontId="12" fillId="0" borderId="1" xfId="1" applyNumberFormat="1" applyFont="1" applyBorder="1" applyAlignment="1">
      <alignment horizontal="center" vertical="center"/>
    </xf>
    <xf numFmtId="0" fontId="13" fillId="7" borderId="1" xfId="1" applyFont="1" applyFill="1" applyBorder="1" applyAlignment="1">
      <alignment vertical="center"/>
    </xf>
    <xf numFmtId="0" fontId="14" fillId="0" borderId="1" xfId="1" applyFont="1" applyBorder="1" applyAlignment="1">
      <alignment vertical="center"/>
    </xf>
    <xf numFmtId="0" fontId="1" fillId="7" borderId="1" xfId="1" applyFont="1" applyFill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11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 wrapText="1"/>
    </xf>
    <xf numFmtId="0" fontId="14" fillId="4" borderId="1" xfId="1" applyFont="1" applyFill="1" applyBorder="1" applyAlignment="1">
      <alignment horizontal="center" vertical="center"/>
    </xf>
    <xf numFmtId="0" fontId="14" fillId="0" borderId="1" xfId="1" applyFont="1" applyBorder="1" applyAlignment="1">
      <alignment vertical="center" wrapText="1"/>
    </xf>
    <xf numFmtId="179" fontId="2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79" fontId="4" fillId="0" borderId="1" xfId="2" applyNumberFormat="1" applyFont="1" applyBorder="1" applyAlignment="1">
      <alignment horizontal="center" vertical="center"/>
    </xf>
    <xf numFmtId="0" fontId="12" fillId="0" borderId="1" xfId="1" applyFont="1" applyBorder="1" applyAlignment="1">
      <alignment vertical="center" wrapText="1"/>
    </xf>
    <xf numFmtId="0" fontId="15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14" fillId="0" borderId="1" xfId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left" vertical="center"/>
    </xf>
    <xf numFmtId="0" fontId="2" fillId="0" borderId="1" xfId="1" quotePrefix="1" applyFont="1" applyBorder="1" applyAlignment="1">
      <alignment horizontal="center" vertical="center"/>
    </xf>
    <xf numFmtId="0" fontId="7" fillId="0" borderId="1" xfId="1" quotePrefix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</cellXfs>
  <cellStyles count="5">
    <cellStyle name="常规" xfId="0" builtinId="0"/>
    <cellStyle name="常规 2" xfId="1" xr:uid="{00000000-0005-0000-0000-000031000000}"/>
    <cellStyle name="常规 3" xfId="2" xr:uid="{00000000-0005-0000-0000-000032000000}"/>
    <cellStyle name="常规 3 2" xfId="3" xr:uid="{00000000-0005-0000-0000-000033000000}"/>
    <cellStyle name="一般_Bankjet UP quote to Loic on 12Oct2007 2" xfId="4" xr:uid="{00000000-0005-0000-0000-000034000000}"/>
  </cellStyles>
  <dxfs count="0"/>
  <tableStyles count="0" defaultTableStyle="TableStyleMedium2" defaultPivotStyle="PivotStyleLight16"/>
  <colors>
    <mruColors>
      <color rgb="FF2FB69F"/>
      <color rgb="FF22C08A"/>
      <color rgb="FF2CC08A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1"/>
  <sheetViews>
    <sheetView zoomScale="80" zoomScaleNormal="80" workbookViewId="0">
      <pane ySplit="2" topLeftCell="A262" activePane="bottomLeft" state="frozen"/>
      <selection pane="bottomLeft" activeCell="L271" sqref="L271"/>
    </sheetView>
  </sheetViews>
  <sheetFormatPr defaultColWidth="8.5" defaultRowHeight="37" customHeight="1" x14ac:dyDescent="0.3"/>
  <cols>
    <col min="1" max="1" width="12.5703125" style="5" customWidth="1"/>
    <col min="2" max="2" width="36.92578125" style="6" customWidth="1"/>
    <col min="3" max="3" width="16.35546875" style="6" customWidth="1"/>
    <col min="4" max="4" width="8.140625" style="6" customWidth="1"/>
    <col min="5" max="5" width="7.640625" style="6" customWidth="1"/>
    <col min="6" max="6" width="7.7109375" style="7" customWidth="1"/>
    <col min="7" max="9" width="8.0703125" style="7" customWidth="1"/>
    <col min="10" max="11" width="12.640625" style="7" customWidth="1"/>
    <col min="12" max="12" width="25.85546875" style="5" customWidth="1"/>
    <col min="13" max="13" width="49.92578125" style="5" customWidth="1"/>
    <col min="14" max="16384" width="8.5" style="5"/>
  </cols>
  <sheetData>
    <row r="1" spans="1:13" ht="37.5" customHeight="1" x14ac:dyDescent="0.3">
      <c r="A1" s="75" t="s">
        <v>2</v>
      </c>
      <c r="B1" s="76"/>
      <c r="C1" s="76"/>
      <c r="D1" s="76"/>
      <c r="E1" s="76"/>
      <c r="F1" s="75"/>
    </row>
    <row r="2" spans="1:13" ht="37" customHeight="1" x14ac:dyDescent="0.3">
      <c r="A2" s="34" t="s">
        <v>3</v>
      </c>
      <c r="B2" s="35" t="s">
        <v>0</v>
      </c>
      <c r="C2" s="35" t="s">
        <v>4</v>
      </c>
      <c r="D2" s="35" t="s">
        <v>5</v>
      </c>
      <c r="E2" s="35" t="s">
        <v>6</v>
      </c>
      <c r="F2" s="34" t="s">
        <v>7</v>
      </c>
      <c r="G2" s="10" t="s">
        <v>8</v>
      </c>
      <c r="H2" s="10" t="s">
        <v>9</v>
      </c>
      <c r="I2" s="10" t="s">
        <v>10</v>
      </c>
      <c r="J2" s="11" t="s">
        <v>11</v>
      </c>
      <c r="K2" s="10" t="s">
        <v>12</v>
      </c>
      <c r="L2" s="12" t="s">
        <v>13</v>
      </c>
      <c r="M2" s="12" t="s">
        <v>14</v>
      </c>
    </row>
    <row r="3" spans="1:13" ht="37" customHeight="1" x14ac:dyDescent="0.3">
      <c r="A3" s="1"/>
      <c r="B3" s="2" t="s">
        <v>15</v>
      </c>
      <c r="C3" s="2" t="s">
        <v>16</v>
      </c>
      <c r="D3" s="2" t="s">
        <v>17</v>
      </c>
      <c r="E3" s="2" t="s">
        <v>18</v>
      </c>
      <c r="F3" s="13">
        <v>0</v>
      </c>
      <c r="G3" s="1"/>
      <c r="H3" s="1"/>
      <c r="I3" s="1"/>
      <c r="J3" s="14"/>
      <c r="K3" s="14">
        <f>J3*F3</f>
        <v>0</v>
      </c>
      <c r="L3" s="15"/>
      <c r="M3" s="15"/>
    </row>
    <row r="4" spans="1:13" ht="37" customHeight="1" x14ac:dyDescent="0.3">
      <c r="A4" s="1"/>
      <c r="B4" s="2" t="s">
        <v>19</v>
      </c>
      <c r="C4" s="2" t="s">
        <v>20</v>
      </c>
      <c r="D4" s="2" t="s">
        <v>21</v>
      </c>
      <c r="E4" s="2" t="s">
        <v>22</v>
      </c>
      <c r="F4" s="13">
        <v>6</v>
      </c>
      <c r="G4" s="1"/>
      <c r="H4" s="1"/>
      <c r="I4" s="1"/>
      <c r="J4" s="14">
        <v>8.0000000000000004E-4</v>
      </c>
      <c r="K4" s="14">
        <f t="shared" ref="K4:K67" si="0">J4*F4</f>
        <v>4.7999999999999996E-3</v>
      </c>
      <c r="L4" s="15"/>
      <c r="M4" s="15"/>
    </row>
    <row r="5" spans="1:13" ht="37" customHeight="1" x14ac:dyDescent="0.3">
      <c r="A5" s="1"/>
      <c r="B5" s="2" t="s">
        <v>23</v>
      </c>
      <c r="C5" s="2" t="s">
        <v>24</v>
      </c>
      <c r="D5" s="2" t="s">
        <v>17</v>
      </c>
      <c r="E5" s="2" t="s">
        <v>25</v>
      </c>
      <c r="F5" s="13">
        <v>2</v>
      </c>
      <c r="G5" s="1"/>
      <c r="H5" s="1"/>
      <c r="I5" s="1"/>
      <c r="J5" s="14">
        <v>8.0000000000000004E-4</v>
      </c>
      <c r="K5" s="14">
        <f t="shared" si="0"/>
        <v>1.6000000000000001E-3</v>
      </c>
      <c r="L5" s="15"/>
      <c r="M5" s="15"/>
    </row>
    <row r="6" spans="1:13" ht="37" customHeight="1" x14ac:dyDescent="0.3">
      <c r="A6" s="1"/>
      <c r="B6" s="2" t="s">
        <v>26</v>
      </c>
      <c r="C6" s="2" t="s">
        <v>27</v>
      </c>
      <c r="D6" s="2" t="s">
        <v>17</v>
      </c>
      <c r="E6" s="2" t="s">
        <v>28</v>
      </c>
      <c r="F6" s="13">
        <v>2</v>
      </c>
      <c r="G6" s="1"/>
      <c r="H6" s="1"/>
      <c r="I6" s="1"/>
      <c r="J6" s="14">
        <v>8.0000000000000004E-4</v>
      </c>
      <c r="K6" s="14">
        <f t="shared" si="0"/>
        <v>1.6000000000000001E-3</v>
      </c>
      <c r="L6" s="15"/>
      <c r="M6" s="15"/>
    </row>
    <row r="7" spans="1:13" ht="37" customHeight="1" x14ac:dyDescent="0.3">
      <c r="A7" s="1"/>
      <c r="B7" s="2" t="s">
        <v>29</v>
      </c>
      <c r="C7" s="2" t="s">
        <v>30</v>
      </c>
      <c r="D7" s="2" t="s">
        <v>17</v>
      </c>
      <c r="E7" s="2" t="s">
        <v>31</v>
      </c>
      <c r="F7" s="13">
        <v>2</v>
      </c>
      <c r="G7" s="1"/>
      <c r="H7" s="1"/>
      <c r="I7" s="1"/>
      <c r="J7" s="14">
        <v>8.0000000000000004E-4</v>
      </c>
      <c r="K7" s="14">
        <f t="shared" si="0"/>
        <v>1.6000000000000001E-3</v>
      </c>
      <c r="L7" s="15"/>
      <c r="M7" s="15"/>
    </row>
    <row r="8" spans="1:13" ht="37" customHeight="1" x14ac:dyDescent="0.3">
      <c r="A8" s="1"/>
      <c r="B8" s="2" t="s">
        <v>32</v>
      </c>
      <c r="C8" s="2" t="s">
        <v>33</v>
      </c>
      <c r="D8" s="2" t="s">
        <v>17</v>
      </c>
      <c r="E8" s="2" t="s">
        <v>34</v>
      </c>
      <c r="F8" s="13">
        <v>2</v>
      </c>
      <c r="G8" s="1"/>
      <c r="H8" s="1"/>
      <c r="I8" s="1"/>
      <c r="J8" s="14">
        <v>8.0000000000000004E-4</v>
      </c>
      <c r="K8" s="14">
        <f t="shared" si="0"/>
        <v>1.6000000000000001E-3</v>
      </c>
      <c r="L8" s="15"/>
      <c r="M8" s="15"/>
    </row>
    <row r="9" spans="1:13" ht="37" customHeight="1" x14ac:dyDescent="0.3">
      <c r="A9" s="1"/>
      <c r="B9" s="2" t="s">
        <v>35</v>
      </c>
      <c r="C9" s="2" t="s">
        <v>36</v>
      </c>
      <c r="D9" s="2" t="s">
        <v>17</v>
      </c>
      <c r="E9" s="2" t="s">
        <v>37</v>
      </c>
      <c r="F9" s="13">
        <v>2</v>
      </c>
      <c r="G9" s="1"/>
      <c r="H9" s="1"/>
      <c r="I9" s="1"/>
      <c r="J9" s="14">
        <v>8.0000000000000004E-4</v>
      </c>
      <c r="K9" s="14">
        <f t="shared" si="0"/>
        <v>1.6000000000000001E-3</v>
      </c>
      <c r="L9" s="15"/>
      <c r="M9" s="15"/>
    </row>
    <row r="10" spans="1:13" ht="37" customHeight="1" x14ac:dyDescent="0.3">
      <c r="A10" s="1"/>
      <c r="B10" s="2" t="s">
        <v>38</v>
      </c>
      <c r="C10" s="2" t="s">
        <v>39</v>
      </c>
      <c r="D10" s="2" t="s">
        <v>17</v>
      </c>
      <c r="E10" s="2" t="s">
        <v>40</v>
      </c>
      <c r="F10" s="13">
        <v>4</v>
      </c>
      <c r="G10" s="1"/>
      <c r="H10" s="1"/>
      <c r="I10" s="1"/>
      <c r="J10" s="14">
        <v>8.0000000000000004E-4</v>
      </c>
      <c r="K10" s="14">
        <f t="shared" si="0"/>
        <v>3.2000000000000002E-3</v>
      </c>
      <c r="L10" s="15"/>
      <c r="M10" s="15"/>
    </row>
    <row r="11" spans="1:13" ht="37" customHeight="1" x14ac:dyDescent="0.3">
      <c r="A11" s="1"/>
      <c r="B11" s="2" t="s">
        <v>41</v>
      </c>
      <c r="C11" s="2" t="s">
        <v>42</v>
      </c>
      <c r="D11" s="2" t="s">
        <v>17</v>
      </c>
      <c r="E11" s="2" t="s">
        <v>43</v>
      </c>
      <c r="F11" s="13">
        <v>2</v>
      </c>
      <c r="G11" s="1"/>
      <c r="H11" s="1"/>
      <c r="I11" s="1"/>
      <c r="J11" s="14">
        <v>8.0000000000000004E-4</v>
      </c>
      <c r="K11" s="14">
        <f t="shared" si="0"/>
        <v>1.6000000000000001E-3</v>
      </c>
      <c r="L11" s="15"/>
      <c r="M11" s="15"/>
    </row>
    <row r="12" spans="1:13" ht="37" customHeight="1" x14ac:dyDescent="0.3">
      <c r="A12" s="1"/>
      <c r="B12" s="2" t="s">
        <v>44</v>
      </c>
      <c r="C12" s="2" t="s">
        <v>45</v>
      </c>
      <c r="D12" s="2" t="s">
        <v>17</v>
      </c>
      <c r="E12" s="2" t="s">
        <v>46</v>
      </c>
      <c r="F12" s="13">
        <v>2</v>
      </c>
      <c r="G12" s="1"/>
      <c r="H12" s="1"/>
      <c r="I12" s="1"/>
      <c r="J12" s="14">
        <v>8.0000000000000004E-4</v>
      </c>
      <c r="K12" s="14">
        <f t="shared" si="0"/>
        <v>1.6000000000000001E-3</v>
      </c>
      <c r="L12" s="15"/>
      <c r="M12" s="15"/>
    </row>
    <row r="13" spans="1:13" ht="37" customHeight="1" x14ac:dyDescent="0.3">
      <c r="A13" s="1"/>
      <c r="B13" s="2" t="s">
        <v>44</v>
      </c>
      <c r="C13" s="2" t="s">
        <v>45</v>
      </c>
      <c r="D13" s="2" t="s">
        <v>21</v>
      </c>
      <c r="E13" s="2" t="s">
        <v>47</v>
      </c>
      <c r="F13" s="13">
        <v>6</v>
      </c>
      <c r="G13" s="1"/>
      <c r="H13" s="1"/>
      <c r="I13" s="1"/>
      <c r="J13" s="14">
        <v>8.0000000000000004E-4</v>
      </c>
      <c r="K13" s="14">
        <f t="shared" si="0"/>
        <v>4.7999999999999996E-3</v>
      </c>
      <c r="L13" s="15"/>
      <c r="M13" s="15"/>
    </row>
    <row r="14" spans="1:13" ht="37" customHeight="1" x14ac:dyDescent="0.3">
      <c r="A14" s="1"/>
      <c r="B14" s="2" t="s">
        <v>48</v>
      </c>
      <c r="C14" s="2" t="s">
        <v>49</v>
      </c>
      <c r="D14" s="2" t="s">
        <v>17</v>
      </c>
      <c r="E14" s="2" t="s">
        <v>50</v>
      </c>
      <c r="F14" s="13">
        <v>2</v>
      </c>
      <c r="G14" s="1"/>
      <c r="H14" s="1"/>
      <c r="I14" s="1"/>
      <c r="J14" s="14">
        <v>8.0000000000000004E-4</v>
      </c>
      <c r="K14" s="14">
        <f t="shared" si="0"/>
        <v>1.6000000000000001E-3</v>
      </c>
      <c r="L14" s="15"/>
      <c r="M14" s="15"/>
    </row>
    <row r="15" spans="1:13" ht="37" customHeight="1" x14ac:dyDescent="0.3">
      <c r="A15" s="1"/>
      <c r="B15" s="2" t="s">
        <v>51</v>
      </c>
      <c r="C15" s="2" t="s">
        <v>52</v>
      </c>
      <c r="D15" s="2" t="s">
        <v>17</v>
      </c>
      <c r="E15" s="2" t="s">
        <v>53</v>
      </c>
      <c r="F15" s="13">
        <v>2</v>
      </c>
      <c r="G15" s="1"/>
      <c r="H15" s="1"/>
      <c r="I15" s="1"/>
      <c r="J15" s="14">
        <v>8.0000000000000004E-4</v>
      </c>
      <c r="K15" s="14">
        <f t="shared" si="0"/>
        <v>1.6000000000000001E-3</v>
      </c>
      <c r="L15" s="15"/>
      <c r="M15" s="15"/>
    </row>
    <row r="16" spans="1:13" ht="37" customHeight="1" x14ac:dyDescent="0.3">
      <c r="A16" s="1"/>
      <c r="B16" s="2" t="s">
        <v>54</v>
      </c>
      <c r="C16" s="2" t="s">
        <v>55</v>
      </c>
      <c r="D16" s="2" t="s">
        <v>17</v>
      </c>
      <c r="E16" s="2" t="s">
        <v>56</v>
      </c>
      <c r="F16" s="13">
        <v>1</v>
      </c>
      <c r="G16" s="1"/>
      <c r="H16" s="1"/>
      <c r="I16" s="1"/>
      <c r="J16" s="14">
        <v>8.0000000000000004E-4</v>
      </c>
      <c r="K16" s="14">
        <f t="shared" si="0"/>
        <v>8.0000000000000004E-4</v>
      </c>
      <c r="L16" s="15"/>
      <c r="M16" s="15"/>
    </row>
    <row r="17" spans="1:13" ht="37" customHeight="1" x14ac:dyDescent="0.3">
      <c r="A17" s="1"/>
      <c r="B17" s="2" t="s">
        <v>57</v>
      </c>
      <c r="C17" s="2" t="s">
        <v>58</v>
      </c>
      <c r="D17" s="2" t="s">
        <v>17</v>
      </c>
      <c r="E17" s="2" t="s">
        <v>59</v>
      </c>
      <c r="F17" s="13">
        <v>2</v>
      </c>
      <c r="G17" s="1"/>
      <c r="H17" s="1"/>
      <c r="I17" s="1"/>
      <c r="J17" s="14">
        <v>8.0000000000000004E-4</v>
      </c>
      <c r="K17" s="14">
        <f t="shared" si="0"/>
        <v>1.6000000000000001E-3</v>
      </c>
      <c r="L17" s="15"/>
      <c r="M17" s="15"/>
    </row>
    <row r="18" spans="1:13" ht="37" customHeight="1" x14ac:dyDescent="0.3">
      <c r="A18" s="1"/>
      <c r="B18" s="2" t="s">
        <v>60</v>
      </c>
      <c r="C18" s="2" t="s">
        <v>61</v>
      </c>
      <c r="D18" s="2" t="s">
        <v>17</v>
      </c>
      <c r="E18" s="2" t="s">
        <v>62</v>
      </c>
      <c r="F18" s="13">
        <v>2</v>
      </c>
      <c r="G18" s="1"/>
      <c r="H18" s="1"/>
      <c r="I18" s="1"/>
      <c r="J18" s="14">
        <v>8.0000000000000004E-4</v>
      </c>
      <c r="K18" s="14">
        <f t="shared" si="0"/>
        <v>1.6000000000000001E-3</v>
      </c>
      <c r="L18" s="15"/>
      <c r="M18" s="15"/>
    </row>
    <row r="19" spans="1:13" ht="37" customHeight="1" x14ac:dyDescent="0.3">
      <c r="A19" s="1"/>
      <c r="B19" s="2" t="s">
        <v>60</v>
      </c>
      <c r="C19" s="2" t="s">
        <v>61</v>
      </c>
      <c r="D19" s="2" t="s">
        <v>21</v>
      </c>
      <c r="E19" s="2" t="s">
        <v>63</v>
      </c>
      <c r="F19" s="13">
        <v>2</v>
      </c>
      <c r="G19" s="1"/>
      <c r="H19" s="1"/>
      <c r="I19" s="1"/>
      <c r="J19" s="14">
        <v>8.0000000000000004E-4</v>
      </c>
      <c r="K19" s="14">
        <f t="shared" si="0"/>
        <v>1.6000000000000001E-3</v>
      </c>
      <c r="L19" s="15"/>
      <c r="M19" s="15"/>
    </row>
    <row r="20" spans="1:13" ht="37" customHeight="1" x14ac:dyDescent="0.3">
      <c r="A20" s="1"/>
      <c r="B20" s="2" t="s">
        <v>64</v>
      </c>
      <c r="C20" s="2" t="s">
        <v>65</v>
      </c>
      <c r="D20" s="2" t="s">
        <v>17</v>
      </c>
      <c r="E20" s="2" t="s">
        <v>66</v>
      </c>
      <c r="F20" s="13">
        <v>2</v>
      </c>
      <c r="G20" s="1"/>
      <c r="H20" s="1"/>
      <c r="I20" s="1"/>
      <c r="J20" s="14">
        <v>8.0000000000000004E-4</v>
      </c>
      <c r="K20" s="14">
        <f t="shared" si="0"/>
        <v>1.6000000000000001E-3</v>
      </c>
      <c r="L20" s="15"/>
      <c r="M20" s="15"/>
    </row>
    <row r="21" spans="1:13" ht="37" customHeight="1" x14ac:dyDescent="0.3">
      <c r="A21" s="1"/>
      <c r="B21" s="2" t="s">
        <v>67</v>
      </c>
      <c r="C21" s="2" t="s">
        <v>68</v>
      </c>
      <c r="D21" s="2" t="s">
        <v>17</v>
      </c>
      <c r="E21" s="2" t="s">
        <v>69</v>
      </c>
      <c r="F21" s="13">
        <v>2</v>
      </c>
      <c r="G21" s="1"/>
      <c r="H21" s="1"/>
      <c r="I21" s="1"/>
      <c r="J21" s="14">
        <v>8.0000000000000004E-4</v>
      </c>
      <c r="K21" s="14">
        <f t="shared" si="0"/>
        <v>1.6000000000000001E-3</v>
      </c>
      <c r="L21" s="15"/>
      <c r="M21" s="15"/>
    </row>
    <row r="22" spans="1:13" ht="37" customHeight="1" x14ac:dyDescent="0.3">
      <c r="A22" s="1"/>
      <c r="B22" s="2" t="s">
        <v>70</v>
      </c>
      <c r="C22" s="2" t="s">
        <v>71</v>
      </c>
      <c r="D22" s="2" t="s">
        <v>17</v>
      </c>
      <c r="E22" s="2" t="s">
        <v>72</v>
      </c>
      <c r="F22" s="13">
        <v>2</v>
      </c>
      <c r="G22" s="1"/>
      <c r="H22" s="1"/>
      <c r="I22" s="1"/>
      <c r="J22" s="14">
        <v>8.0000000000000004E-4</v>
      </c>
      <c r="K22" s="14">
        <f t="shared" si="0"/>
        <v>1.6000000000000001E-3</v>
      </c>
      <c r="L22" s="15"/>
      <c r="M22" s="15"/>
    </row>
    <row r="23" spans="1:13" ht="37" customHeight="1" x14ac:dyDescent="0.3">
      <c r="A23" s="1"/>
      <c r="B23" s="2" t="s">
        <v>73</v>
      </c>
      <c r="C23" s="2" t="s">
        <v>74</v>
      </c>
      <c r="D23" s="2" t="s">
        <v>17</v>
      </c>
      <c r="E23" s="2" t="s">
        <v>75</v>
      </c>
      <c r="F23" s="13">
        <v>1</v>
      </c>
      <c r="G23" s="1"/>
      <c r="H23" s="1"/>
      <c r="I23" s="1"/>
      <c r="J23" s="14">
        <v>8.0000000000000004E-4</v>
      </c>
      <c r="K23" s="14">
        <f t="shared" si="0"/>
        <v>8.0000000000000004E-4</v>
      </c>
      <c r="L23" s="15"/>
      <c r="M23" s="15"/>
    </row>
    <row r="24" spans="1:13" ht="37" customHeight="1" x14ac:dyDescent="0.3">
      <c r="A24" s="1"/>
      <c r="B24" s="2" t="s">
        <v>76</v>
      </c>
      <c r="C24" s="2" t="s">
        <v>77</v>
      </c>
      <c r="D24" s="2" t="s">
        <v>17</v>
      </c>
      <c r="E24" s="2" t="s">
        <v>78</v>
      </c>
      <c r="F24" s="13">
        <v>2</v>
      </c>
      <c r="G24" s="1"/>
      <c r="H24" s="1"/>
      <c r="I24" s="1"/>
      <c r="J24" s="14">
        <v>8.0000000000000004E-4</v>
      </c>
      <c r="K24" s="14">
        <f t="shared" si="0"/>
        <v>1.6000000000000001E-3</v>
      </c>
      <c r="L24" s="15"/>
      <c r="M24" s="15"/>
    </row>
    <row r="25" spans="1:13" ht="37" customHeight="1" x14ac:dyDescent="0.3">
      <c r="A25" s="1"/>
      <c r="B25" s="2" t="s">
        <v>79</v>
      </c>
      <c r="C25" s="2" t="s">
        <v>80</v>
      </c>
      <c r="D25" s="2" t="s">
        <v>21</v>
      </c>
      <c r="E25" s="2" t="s">
        <v>81</v>
      </c>
      <c r="F25" s="13">
        <v>15</v>
      </c>
      <c r="G25" s="1"/>
      <c r="H25" s="1"/>
      <c r="I25" s="1"/>
      <c r="J25" s="14">
        <v>8.0000000000000004E-4</v>
      </c>
      <c r="K25" s="14">
        <f t="shared" si="0"/>
        <v>1.2E-2</v>
      </c>
      <c r="L25" s="15"/>
      <c r="M25" s="15"/>
    </row>
    <row r="26" spans="1:13" ht="37" customHeight="1" x14ac:dyDescent="0.3">
      <c r="A26" s="1"/>
      <c r="B26" s="2" t="s">
        <v>82</v>
      </c>
      <c r="C26" s="2" t="s">
        <v>20</v>
      </c>
      <c r="D26" s="2" t="s">
        <v>17</v>
      </c>
      <c r="E26" s="2" t="s">
        <v>83</v>
      </c>
      <c r="F26" s="13">
        <v>18</v>
      </c>
      <c r="G26" s="1"/>
      <c r="H26" s="1"/>
      <c r="I26" s="1"/>
      <c r="J26" s="14">
        <v>8.0000000000000004E-4</v>
      </c>
      <c r="K26" s="14">
        <f t="shared" si="0"/>
        <v>1.44E-2</v>
      </c>
      <c r="L26" s="15"/>
      <c r="M26" s="15"/>
    </row>
    <row r="27" spans="1:13" ht="37" customHeight="1" x14ac:dyDescent="0.3">
      <c r="A27" s="1"/>
      <c r="B27" s="2" t="s">
        <v>82</v>
      </c>
      <c r="C27" s="2" t="s">
        <v>20</v>
      </c>
      <c r="D27" s="2" t="s">
        <v>21</v>
      </c>
      <c r="E27" s="2" t="s">
        <v>84</v>
      </c>
      <c r="F27" s="13">
        <v>1</v>
      </c>
      <c r="G27" s="1"/>
      <c r="H27" s="1"/>
      <c r="I27" s="1"/>
      <c r="J27" s="14">
        <v>8.0000000000000004E-4</v>
      </c>
      <c r="K27" s="14">
        <f t="shared" si="0"/>
        <v>8.0000000000000004E-4</v>
      </c>
      <c r="L27" s="15"/>
      <c r="M27" s="15"/>
    </row>
    <row r="28" spans="1:13" ht="37" customHeight="1" x14ac:dyDescent="0.3">
      <c r="A28" s="1"/>
      <c r="B28" s="2" t="s">
        <v>85</v>
      </c>
      <c r="C28" s="2" t="s">
        <v>86</v>
      </c>
      <c r="D28" s="2" t="s">
        <v>21</v>
      </c>
      <c r="E28" s="2" t="s">
        <v>87</v>
      </c>
      <c r="F28" s="13">
        <v>2</v>
      </c>
      <c r="G28" s="1"/>
      <c r="H28" s="1"/>
      <c r="I28" s="1"/>
      <c r="J28" s="14">
        <v>8.0000000000000004E-4</v>
      </c>
      <c r="K28" s="14">
        <f t="shared" si="0"/>
        <v>1.6000000000000001E-3</v>
      </c>
      <c r="L28" s="15"/>
      <c r="M28" s="15"/>
    </row>
    <row r="29" spans="1:13" ht="37" customHeight="1" x14ac:dyDescent="0.3">
      <c r="A29" s="1"/>
      <c r="B29" s="2" t="s">
        <v>88</v>
      </c>
      <c r="C29" s="2" t="s">
        <v>86</v>
      </c>
      <c r="D29" s="2" t="s">
        <v>21</v>
      </c>
      <c r="E29" s="2" t="s">
        <v>89</v>
      </c>
      <c r="F29" s="13">
        <v>3</v>
      </c>
      <c r="G29" s="1"/>
      <c r="H29" s="1"/>
      <c r="I29" s="1"/>
      <c r="J29" s="14">
        <v>8.0000000000000004E-4</v>
      </c>
      <c r="K29" s="14">
        <f t="shared" si="0"/>
        <v>2.3999999999999998E-3</v>
      </c>
      <c r="L29" s="15"/>
      <c r="M29" s="15"/>
    </row>
    <row r="30" spans="1:13" ht="37" customHeight="1" x14ac:dyDescent="0.3">
      <c r="A30" s="1"/>
      <c r="B30" s="2" t="s">
        <v>90</v>
      </c>
      <c r="C30" s="2" t="s">
        <v>91</v>
      </c>
      <c r="D30" s="2" t="s">
        <v>21</v>
      </c>
      <c r="E30" s="2" t="s">
        <v>92</v>
      </c>
      <c r="F30" s="13">
        <v>3</v>
      </c>
      <c r="G30" s="1"/>
      <c r="H30" s="1"/>
      <c r="I30" s="1"/>
      <c r="J30" s="14">
        <v>8.0000000000000004E-4</v>
      </c>
      <c r="K30" s="14">
        <f t="shared" si="0"/>
        <v>2.3999999999999998E-3</v>
      </c>
      <c r="L30" s="15"/>
      <c r="M30" s="15"/>
    </row>
    <row r="31" spans="1:13" ht="37" customHeight="1" x14ac:dyDescent="0.3">
      <c r="A31" s="1"/>
      <c r="B31" s="2" t="s">
        <v>93</v>
      </c>
      <c r="C31" s="2" t="s">
        <v>94</v>
      </c>
      <c r="D31" s="2" t="s">
        <v>17</v>
      </c>
      <c r="E31" s="2" t="s">
        <v>95</v>
      </c>
      <c r="F31" s="13">
        <v>2</v>
      </c>
      <c r="G31" s="1"/>
      <c r="H31" s="1"/>
      <c r="I31" s="1"/>
      <c r="J31" s="14">
        <v>8.0000000000000004E-4</v>
      </c>
      <c r="K31" s="14">
        <f t="shared" si="0"/>
        <v>1.6000000000000001E-3</v>
      </c>
      <c r="L31" s="15"/>
      <c r="M31" s="15"/>
    </row>
    <row r="32" spans="1:13" ht="37" customHeight="1" x14ac:dyDescent="0.3">
      <c r="A32" s="1"/>
      <c r="B32" s="2" t="s">
        <v>96</v>
      </c>
      <c r="C32" s="2" t="s">
        <v>97</v>
      </c>
      <c r="D32" s="2" t="s">
        <v>17</v>
      </c>
      <c r="E32" s="2" t="s">
        <v>98</v>
      </c>
      <c r="F32" s="13">
        <v>1</v>
      </c>
      <c r="G32" s="1"/>
      <c r="H32" s="1"/>
      <c r="I32" s="1"/>
      <c r="J32" s="14">
        <v>8.0000000000000004E-4</v>
      </c>
      <c r="K32" s="14">
        <f t="shared" si="0"/>
        <v>8.0000000000000004E-4</v>
      </c>
      <c r="L32" s="15"/>
      <c r="M32" s="15"/>
    </row>
    <row r="33" spans="1:13" ht="37" customHeight="1" x14ac:dyDescent="0.3">
      <c r="A33" s="1"/>
      <c r="B33" s="2" t="s">
        <v>99</v>
      </c>
      <c r="C33" s="2" t="s">
        <v>100</v>
      </c>
      <c r="D33" s="2" t="s">
        <v>17</v>
      </c>
      <c r="E33" s="2" t="s">
        <v>101</v>
      </c>
      <c r="F33" s="13">
        <v>8</v>
      </c>
      <c r="G33" s="1"/>
      <c r="H33" s="1"/>
      <c r="I33" s="1"/>
      <c r="J33" s="14">
        <v>8.0000000000000004E-4</v>
      </c>
      <c r="K33" s="14">
        <f t="shared" si="0"/>
        <v>6.4000000000000003E-3</v>
      </c>
      <c r="L33" s="15"/>
      <c r="M33" s="15"/>
    </row>
    <row r="34" spans="1:13" ht="37" customHeight="1" x14ac:dyDescent="0.3">
      <c r="A34" s="1"/>
      <c r="B34" s="2" t="s">
        <v>99</v>
      </c>
      <c r="C34" s="2" t="s">
        <v>100</v>
      </c>
      <c r="D34" s="2" t="s">
        <v>21</v>
      </c>
      <c r="E34" s="2" t="s">
        <v>102</v>
      </c>
      <c r="F34" s="13">
        <v>1</v>
      </c>
      <c r="G34" s="1"/>
      <c r="H34" s="1"/>
      <c r="I34" s="1"/>
      <c r="J34" s="14">
        <v>8.0000000000000004E-4</v>
      </c>
      <c r="K34" s="14">
        <f t="shared" si="0"/>
        <v>8.0000000000000004E-4</v>
      </c>
      <c r="L34" s="15"/>
      <c r="M34" s="15"/>
    </row>
    <row r="35" spans="1:13" ht="37" customHeight="1" x14ac:dyDescent="0.3">
      <c r="A35" s="1"/>
      <c r="B35" s="2" t="s">
        <v>103</v>
      </c>
      <c r="C35" s="2" t="s">
        <v>104</v>
      </c>
      <c r="D35" s="2" t="s">
        <v>17</v>
      </c>
      <c r="E35" s="2" t="s">
        <v>105</v>
      </c>
      <c r="F35" s="13">
        <v>2</v>
      </c>
      <c r="G35" s="1"/>
      <c r="H35" s="1"/>
      <c r="I35" s="1"/>
      <c r="J35" s="14">
        <v>8.0000000000000004E-4</v>
      </c>
      <c r="K35" s="14">
        <f t="shared" si="0"/>
        <v>1.6000000000000001E-3</v>
      </c>
      <c r="L35" s="15"/>
      <c r="M35" s="15"/>
    </row>
    <row r="36" spans="1:13" ht="37" customHeight="1" x14ac:dyDescent="0.3">
      <c r="A36" s="1"/>
      <c r="B36" s="2" t="s">
        <v>106</v>
      </c>
      <c r="C36" s="2" t="s">
        <v>39</v>
      </c>
      <c r="D36" s="2" t="s">
        <v>17</v>
      </c>
      <c r="E36" s="2" t="s">
        <v>107</v>
      </c>
      <c r="F36" s="13">
        <v>2</v>
      </c>
      <c r="G36" s="1"/>
      <c r="H36" s="1"/>
      <c r="I36" s="1"/>
      <c r="J36" s="14">
        <v>8.0000000000000004E-4</v>
      </c>
      <c r="K36" s="14">
        <f t="shared" si="0"/>
        <v>1.6000000000000001E-3</v>
      </c>
      <c r="L36" s="15"/>
      <c r="M36" s="15"/>
    </row>
    <row r="37" spans="1:13" ht="37" customHeight="1" x14ac:dyDescent="0.3">
      <c r="A37" s="1"/>
      <c r="B37" s="2" t="s">
        <v>108</v>
      </c>
      <c r="C37" s="2" t="s">
        <v>109</v>
      </c>
      <c r="D37" s="2" t="s">
        <v>21</v>
      </c>
      <c r="E37" s="2" t="s">
        <v>110</v>
      </c>
      <c r="F37" s="13">
        <v>4</v>
      </c>
      <c r="G37" s="1"/>
      <c r="H37" s="1"/>
      <c r="I37" s="1"/>
      <c r="J37" s="14">
        <v>8.0000000000000004E-4</v>
      </c>
      <c r="K37" s="14">
        <f t="shared" si="0"/>
        <v>3.2000000000000002E-3</v>
      </c>
      <c r="L37" s="15"/>
      <c r="M37" s="15"/>
    </row>
    <row r="38" spans="1:13" ht="37" customHeight="1" x14ac:dyDescent="0.3">
      <c r="A38" s="1"/>
      <c r="B38" s="2" t="s">
        <v>111</v>
      </c>
      <c r="C38" s="2" t="s">
        <v>112</v>
      </c>
      <c r="D38" s="2" t="s">
        <v>21</v>
      </c>
      <c r="E38" s="2" t="s">
        <v>113</v>
      </c>
      <c r="F38" s="13">
        <v>2</v>
      </c>
      <c r="G38" s="1"/>
      <c r="H38" s="1"/>
      <c r="I38" s="1"/>
      <c r="J38" s="14">
        <v>8.0000000000000004E-4</v>
      </c>
      <c r="K38" s="14">
        <f t="shared" si="0"/>
        <v>1.6000000000000001E-3</v>
      </c>
      <c r="L38" s="15"/>
      <c r="M38" s="15"/>
    </row>
    <row r="39" spans="1:13" ht="37" customHeight="1" x14ac:dyDescent="0.3">
      <c r="A39" s="1"/>
      <c r="B39" s="2" t="s">
        <v>114</v>
      </c>
      <c r="C39" s="2" t="s">
        <v>115</v>
      </c>
      <c r="D39" s="2" t="s">
        <v>17</v>
      </c>
      <c r="E39" s="2" t="s">
        <v>116</v>
      </c>
      <c r="F39" s="13">
        <v>10</v>
      </c>
      <c r="G39" s="1"/>
      <c r="H39" s="1"/>
      <c r="I39" s="1"/>
      <c r="J39" s="14">
        <v>8.0000000000000004E-4</v>
      </c>
      <c r="K39" s="14">
        <f t="shared" si="0"/>
        <v>8.0000000000000002E-3</v>
      </c>
      <c r="L39" s="15"/>
      <c r="M39" s="15"/>
    </row>
    <row r="40" spans="1:13" ht="37" customHeight="1" x14ac:dyDescent="0.3">
      <c r="A40" s="1"/>
      <c r="B40" s="2" t="s">
        <v>117</v>
      </c>
      <c r="C40" s="2" t="s">
        <v>118</v>
      </c>
      <c r="D40" s="2" t="s">
        <v>21</v>
      </c>
      <c r="E40" s="2" t="s">
        <v>119</v>
      </c>
      <c r="F40" s="13">
        <v>20</v>
      </c>
      <c r="G40" s="1"/>
      <c r="H40" s="1"/>
      <c r="I40" s="1"/>
      <c r="J40" s="14">
        <v>8.0000000000000004E-4</v>
      </c>
      <c r="K40" s="14">
        <f t="shared" si="0"/>
        <v>1.6E-2</v>
      </c>
      <c r="L40" s="15"/>
      <c r="M40" s="15"/>
    </row>
    <row r="41" spans="1:13" ht="37" customHeight="1" x14ac:dyDescent="0.3">
      <c r="A41" s="1"/>
      <c r="B41" s="2" t="s">
        <v>117</v>
      </c>
      <c r="C41" s="2" t="s">
        <v>120</v>
      </c>
      <c r="D41" s="2" t="s">
        <v>21</v>
      </c>
      <c r="E41" s="2" t="s">
        <v>121</v>
      </c>
      <c r="F41" s="13">
        <v>0</v>
      </c>
      <c r="G41" s="1"/>
      <c r="H41" s="1"/>
      <c r="I41" s="1"/>
      <c r="J41" s="14"/>
      <c r="K41" s="14">
        <f t="shared" si="0"/>
        <v>0</v>
      </c>
      <c r="L41" s="15"/>
      <c r="M41" s="15"/>
    </row>
    <row r="42" spans="1:13" ht="37" customHeight="1" x14ac:dyDescent="0.3">
      <c r="A42" s="1"/>
      <c r="B42" s="2" t="s">
        <v>122</v>
      </c>
      <c r="C42" s="2" t="s">
        <v>45</v>
      </c>
      <c r="D42" s="2" t="s">
        <v>17</v>
      </c>
      <c r="E42" s="2" t="s">
        <v>123</v>
      </c>
      <c r="F42" s="13">
        <v>4</v>
      </c>
      <c r="G42" s="1"/>
      <c r="H42" s="1"/>
      <c r="I42" s="1"/>
      <c r="J42" s="14">
        <v>8.0000000000000004E-4</v>
      </c>
      <c r="K42" s="14">
        <f t="shared" si="0"/>
        <v>3.2000000000000002E-3</v>
      </c>
      <c r="L42" s="15"/>
      <c r="M42" s="15"/>
    </row>
    <row r="43" spans="1:13" ht="37" customHeight="1" x14ac:dyDescent="0.3">
      <c r="A43" s="1"/>
      <c r="B43" s="2" t="s">
        <v>124</v>
      </c>
      <c r="C43" s="2" t="s">
        <v>118</v>
      </c>
      <c r="D43" s="2" t="s">
        <v>17</v>
      </c>
      <c r="E43" s="2" t="s">
        <v>125</v>
      </c>
      <c r="F43" s="13">
        <v>2</v>
      </c>
      <c r="G43" s="1"/>
      <c r="H43" s="1"/>
      <c r="I43" s="1"/>
      <c r="J43" s="14">
        <v>8.0000000000000004E-4</v>
      </c>
      <c r="K43" s="14">
        <f t="shared" si="0"/>
        <v>1.6000000000000001E-3</v>
      </c>
      <c r="L43" s="15"/>
      <c r="M43" s="15"/>
    </row>
    <row r="44" spans="1:13" ht="37" customHeight="1" x14ac:dyDescent="0.3">
      <c r="A44" s="1"/>
      <c r="B44" s="2" t="s">
        <v>126</v>
      </c>
      <c r="C44" s="2" t="s">
        <v>127</v>
      </c>
      <c r="D44" s="2" t="s">
        <v>17</v>
      </c>
      <c r="E44" s="2" t="s">
        <v>128</v>
      </c>
      <c r="F44" s="13">
        <v>4</v>
      </c>
      <c r="G44" s="1"/>
      <c r="H44" s="1"/>
      <c r="I44" s="1"/>
      <c r="J44" s="14">
        <v>8.0000000000000004E-4</v>
      </c>
      <c r="K44" s="14">
        <f t="shared" si="0"/>
        <v>3.2000000000000002E-3</v>
      </c>
      <c r="L44" s="15"/>
      <c r="M44" s="15"/>
    </row>
    <row r="45" spans="1:13" ht="37" customHeight="1" x14ac:dyDescent="0.3">
      <c r="A45" s="1"/>
      <c r="B45" s="2" t="s">
        <v>129</v>
      </c>
      <c r="C45" s="2" t="s">
        <v>130</v>
      </c>
      <c r="D45" s="2" t="s">
        <v>17</v>
      </c>
      <c r="E45" s="2" t="s">
        <v>131</v>
      </c>
      <c r="F45" s="13">
        <v>2</v>
      </c>
      <c r="G45" s="1"/>
      <c r="H45" s="1"/>
      <c r="I45" s="1"/>
      <c r="J45" s="14">
        <v>8.0000000000000004E-4</v>
      </c>
      <c r="K45" s="14">
        <f t="shared" si="0"/>
        <v>1.6000000000000001E-3</v>
      </c>
      <c r="L45" s="15"/>
      <c r="M45" s="15"/>
    </row>
    <row r="46" spans="1:13" ht="37" customHeight="1" x14ac:dyDescent="0.3">
      <c r="A46" s="1"/>
      <c r="B46" s="2" t="s">
        <v>132</v>
      </c>
      <c r="C46" s="2" t="s">
        <v>133</v>
      </c>
      <c r="D46" s="2" t="s">
        <v>21</v>
      </c>
      <c r="E46" s="2" t="s">
        <v>134</v>
      </c>
      <c r="F46" s="13">
        <v>4</v>
      </c>
      <c r="G46" s="1"/>
      <c r="H46" s="1"/>
      <c r="I46" s="1"/>
      <c r="J46" s="14">
        <v>8.0000000000000004E-4</v>
      </c>
      <c r="K46" s="14">
        <f t="shared" si="0"/>
        <v>3.2000000000000002E-3</v>
      </c>
      <c r="L46" s="15"/>
      <c r="M46" s="15"/>
    </row>
    <row r="47" spans="1:13" ht="37" customHeight="1" x14ac:dyDescent="0.3">
      <c r="A47" s="1"/>
      <c r="B47" s="2" t="s">
        <v>132</v>
      </c>
      <c r="C47" s="2" t="s">
        <v>135</v>
      </c>
      <c r="D47" s="2" t="s">
        <v>21</v>
      </c>
      <c r="E47" s="2" t="s">
        <v>136</v>
      </c>
      <c r="F47" s="13">
        <v>30</v>
      </c>
      <c r="G47" s="1"/>
      <c r="H47" s="1"/>
      <c r="I47" s="1"/>
      <c r="J47" s="14">
        <v>8.0000000000000004E-4</v>
      </c>
      <c r="K47" s="14">
        <f t="shared" si="0"/>
        <v>2.4E-2</v>
      </c>
      <c r="L47" s="15"/>
      <c r="M47" s="15"/>
    </row>
    <row r="48" spans="1:13" ht="37" customHeight="1" x14ac:dyDescent="0.3">
      <c r="A48" s="1"/>
      <c r="B48" s="2" t="s">
        <v>137</v>
      </c>
      <c r="C48" s="2" t="s">
        <v>138</v>
      </c>
      <c r="D48" s="2" t="s">
        <v>17</v>
      </c>
      <c r="E48" s="2" t="s">
        <v>139</v>
      </c>
      <c r="F48" s="13">
        <v>4</v>
      </c>
      <c r="G48" s="1"/>
      <c r="H48" s="1"/>
      <c r="I48" s="1"/>
      <c r="J48" s="14">
        <v>8.0000000000000004E-4</v>
      </c>
      <c r="K48" s="14">
        <f t="shared" si="0"/>
        <v>3.2000000000000002E-3</v>
      </c>
      <c r="L48" s="15"/>
      <c r="M48" s="15"/>
    </row>
    <row r="49" spans="1:13" ht="37" customHeight="1" x14ac:dyDescent="0.3">
      <c r="A49" s="1"/>
      <c r="B49" s="2" t="s">
        <v>140</v>
      </c>
      <c r="C49" s="2" t="s">
        <v>141</v>
      </c>
      <c r="D49" s="2" t="s">
        <v>17</v>
      </c>
      <c r="E49" s="2" t="s">
        <v>142</v>
      </c>
      <c r="F49" s="13">
        <v>2</v>
      </c>
      <c r="G49" s="1"/>
      <c r="H49" s="1"/>
      <c r="I49" s="1"/>
      <c r="J49" s="14">
        <v>8.0000000000000004E-4</v>
      </c>
      <c r="K49" s="14">
        <f t="shared" si="0"/>
        <v>1.6000000000000001E-3</v>
      </c>
      <c r="L49" s="15"/>
      <c r="M49" s="15"/>
    </row>
    <row r="50" spans="1:13" ht="37" customHeight="1" x14ac:dyDescent="0.3">
      <c r="A50" s="1"/>
      <c r="B50" s="2" t="s">
        <v>143</v>
      </c>
      <c r="C50" s="2" t="s">
        <v>144</v>
      </c>
      <c r="D50" s="2" t="s">
        <v>17</v>
      </c>
      <c r="E50" s="2" t="s">
        <v>145</v>
      </c>
      <c r="F50" s="13">
        <v>1</v>
      </c>
      <c r="G50" s="1"/>
      <c r="H50" s="1"/>
      <c r="I50" s="1"/>
      <c r="J50" s="14">
        <v>8.0000000000000004E-4</v>
      </c>
      <c r="K50" s="14">
        <f t="shared" si="0"/>
        <v>8.0000000000000004E-4</v>
      </c>
      <c r="L50" s="15"/>
      <c r="M50" s="15"/>
    </row>
    <row r="51" spans="1:13" ht="37" customHeight="1" x14ac:dyDescent="0.3">
      <c r="A51" s="1"/>
      <c r="B51" s="2" t="s">
        <v>146</v>
      </c>
      <c r="C51" s="2" t="s">
        <v>147</v>
      </c>
      <c r="D51" s="2" t="s">
        <v>17</v>
      </c>
      <c r="E51" s="2" t="s">
        <v>148</v>
      </c>
      <c r="F51" s="13">
        <v>1</v>
      </c>
      <c r="G51" s="1"/>
      <c r="H51" s="1"/>
      <c r="I51" s="1"/>
      <c r="J51" s="14">
        <v>8.0000000000000004E-4</v>
      </c>
      <c r="K51" s="14">
        <f t="shared" si="0"/>
        <v>8.0000000000000004E-4</v>
      </c>
      <c r="L51" s="15"/>
      <c r="M51" s="15"/>
    </row>
    <row r="52" spans="1:13" ht="37" customHeight="1" x14ac:dyDescent="0.3">
      <c r="A52" s="1"/>
      <c r="B52" s="2" t="s">
        <v>149</v>
      </c>
      <c r="C52" s="2" t="s">
        <v>150</v>
      </c>
      <c r="D52" s="2" t="s">
        <v>21</v>
      </c>
      <c r="E52" s="2" t="s">
        <v>151</v>
      </c>
      <c r="F52" s="13">
        <v>1</v>
      </c>
      <c r="G52" s="1"/>
      <c r="H52" s="1"/>
      <c r="I52" s="1"/>
      <c r="J52" s="14">
        <v>8.0000000000000004E-4</v>
      </c>
      <c r="K52" s="14">
        <f t="shared" si="0"/>
        <v>8.0000000000000004E-4</v>
      </c>
      <c r="L52" s="15"/>
      <c r="M52" s="15"/>
    </row>
    <row r="53" spans="1:13" ht="37" customHeight="1" x14ac:dyDescent="0.3">
      <c r="A53" s="1"/>
      <c r="B53" s="2" t="s">
        <v>152</v>
      </c>
      <c r="C53" s="2" t="s">
        <v>153</v>
      </c>
      <c r="D53" s="2" t="s">
        <v>17</v>
      </c>
      <c r="E53" s="2" t="s">
        <v>154</v>
      </c>
      <c r="F53" s="13">
        <v>55</v>
      </c>
      <c r="G53" s="1"/>
      <c r="H53" s="1"/>
      <c r="I53" s="1"/>
      <c r="J53" s="14">
        <v>8.0000000000000004E-4</v>
      </c>
      <c r="K53" s="14">
        <f t="shared" si="0"/>
        <v>4.3999999999999997E-2</v>
      </c>
      <c r="L53" s="15"/>
      <c r="M53" s="15"/>
    </row>
    <row r="54" spans="1:13" ht="37" customHeight="1" x14ac:dyDescent="0.3">
      <c r="A54" s="1"/>
      <c r="B54" s="2" t="s">
        <v>155</v>
      </c>
      <c r="C54" s="2" t="s">
        <v>156</v>
      </c>
      <c r="D54" s="2" t="s">
        <v>17</v>
      </c>
      <c r="E54" s="2" t="s">
        <v>157</v>
      </c>
      <c r="F54" s="13">
        <v>4</v>
      </c>
      <c r="G54" s="1"/>
      <c r="H54" s="1"/>
      <c r="I54" s="1"/>
      <c r="J54" s="14">
        <v>8.0000000000000004E-4</v>
      </c>
      <c r="K54" s="14">
        <f t="shared" si="0"/>
        <v>3.2000000000000002E-3</v>
      </c>
      <c r="L54" s="15"/>
      <c r="M54" s="15"/>
    </row>
    <row r="55" spans="1:13" ht="37" customHeight="1" x14ac:dyDescent="0.3">
      <c r="A55" s="1"/>
      <c r="B55" s="2" t="s">
        <v>158</v>
      </c>
      <c r="C55" s="2" t="s">
        <v>61</v>
      </c>
      <c r="D55" s="2" t="s">
        <v>21</v>
      </c>
      <c r="E55" s="2" t="s">
        <v>159</v>
      </c>
      <c r="F55" s="13">
        <v>5</v>
      </c>
      <c r="G55" s="1"/>
      <c r="H55" s="1"/>
      <c r="I55" s="1"/>
      <c r="J55" s="14">
        <v>8.0000000000000004E-4</v>
      </c>
      <c r="K55" s="14">
        <f t="shared" si="0"/>
        <v>4.0000000000000001E-3</v>
      </c>
      <c r="L55" s="15"/>
      <c r="M55" s="15"/>
    </row>
    <row r="56" spans="1:13" ht="37" customHeight="1" x14ac:dyDescent="0.3">
      <c r="A56" s="1"/>
      <c r="B56" s="2" t="s">
        <v>160</v>
      </c>
      <c r="C56" s="2" t="s">
        <v>61</v>
      </c>
      <c r="D56" s="2" t="s">
        <v>17</v>
      </c>
      <c r="E56" s="2" t="s">
        <v>161</v>
      </c>
      <c r="F56" s="13">
        <v>1</v>
      </c>
      <c r="G56" s="1"/>
      <c r="H56" s="1"/>
      <c r="I56" s="1"/>
      <c r="J56" s="14">
        <v>8.0000000000000004E-4</v>
      </c>
      <c r="K56" s="14">
        <f t="shared" si="0"/>
        <v>8.0000000000000004E-4</v>
      </c>
      <c r="L56" s="15"/>
      <c r="M56" s="15"/>
    </row>
    <row r="57" spans="1:13" ht="37" customHeight="1" x14ac:dyDescent="0.3">
      <c r="A57" s="1"/>
      <c r="B57" s="2" t="s">
        <v>162</v>
      </c>
      <c r="C57" s="2" t="s">
        <v>163</v>
      </c>
      <c r="D57" s="2" t="s">
        <v>17</v>
      </c>
      <c r="E57" s="2" t="s">
        <v>164</v>
      </c>
      <c r="F57" s="13">
        <v>10</v>
      </c>
      <c r="G57" s="1"/>
      <c r="H57" s="1"/>
      <c r="I57" s="1"/>
      <c r="J57" s="14">
        <v>8.0000000000000004E-4</v>
      </c>
      <c r="K57" s="14">
        <f t="shared" si="0"/>
        <v>8.0000000000000002E-3</v>
      </c>
      <c r="L57" s="15"/>
      <c r="M57" s="15"/>
    </row>
    <row r="58" spans="1:13" ht="37" customHeight="1" x14ac:dyDescent="0.3">
      <c r="A58" s="1"/>
      <c r="B58" s="2" t="s">
        <v>162</v>
      </c>
      <c r="C58" s="2" t="s">
        <v>163</v>
      </c>
      <c r="D58" s="2" t="s">
        <v>21</v>
      </c>
      <c r="E58" s="2" t="s">
        <v>165</v>
      </c>
      <c r="F58" s="13">
        <v>3</v>
      </c>
      <c r="G58" s="1"/>
      <c r="H58" s="1"/>
      <c r="I58" s="1"/>
      <c r="J58" s="14">
        <v>8.0000000000000004E-4</v>
      </c>
      <c r="K58" s="14">
        <f t="shared" si="0"/>
        <v>2.3999999999999998E-3</v>
      </c>
      <c r="L58" s="15"/>
      <c r="M58" s="15"/>
    </row>
    <row r="59" spans="1:13" ht="37" customHeight="1" x14ac:dyDescent="0.3">
      <c r="A59" s="1"/>
      <c r="B59" s="2" t="s">
        <v>166</v>
      </c>
      <c r="C59" s="2" t="s">
        <v>167</v>
      </c>
      <c r="D59" s="2" t="s">
        <v>17</v>
      </c>
      <c r="E59" s="2" t="s">
        <v>168</v>
      </c>
      <c r="F59" s="13">
        <v>2</v>
      </c>
      <c r="G59" s="1"/>
      <c r="H59" s="1"/>
      <c r="I59" s="1"/>
      <c r="J59" s="14">
        <v>8.0000000000000004E-4</v>
      </c>
      <c r="K59" s="14">
        <f t="shared" si="0"/>
        <v>1.6000000000000001E-3</v>
      </c>
      <c r="L59" s="15"/>
      <c r="M59" s="15"/>
    </row>
    <row r="60" spans="1:13" ht="37" customHeight="1" x14ac:dyDescent="0.3">
      <c r="A60" s="1"/>
      <c r="B60" s="2" t="s">
        <v>169</v>
      </c>
      <c r="C60" s="2" t="s">
        <v>170</v>
      </c>
      <c r="D60" s="2" t="s">
        <v>21</v>
      </c>
      <c r="E60" s="2" t="s">
        <v>171</v>
      </c>
      <c r="F60" s="13">
        <v>1</v>
      </c>
      <c r="G60" s="1"/>
      <c r="H60" s="1"/>
      <c r="I60" s="1"/>
      <c r="J60" s="14">
        <v>8.0000000000000004E-4</v>
      </c>
      <c r="K60" s="14">
        <f t="shared" si="0"/>
        <v>8.0000000000000004E-4</v>
      </c>
      <c r="L60" s="15"/>
      <c r="M60" s="15"/>
    </row>
    <row r="61" spans="1:13" ht="37" customHeight="1" x14ac:dyDescent="0.3">
      <c r="A61" s="1"/>
      <c r="B61" s="2" t="s">
        <v>172</v>
      </c>
      <c r="C61" s="2" t="s">
        <v>173</v>
      </c>
      <c r="D61" s="2" t="s">
        <v>21</v>
      </c>
      <c r="E61" s="2" t="s">
        <v>174</v>
      </c>
      <c r="F61" s="13">
        <v>1</v>
      </c>
      <c r="G61" s="1"/>
      <c r="H61" s="1"/>
      <c r="I61" s="1"/>
      <c r="J61" s="14">
        <v>8.0000000000000004E-4</v>
      </c>
      <c r="K61" s="14">
        <f t="shared" si="0"/>
        <v>8.0000000000000004E-4</v>
      </c>
      <c r="L61" s="15"/>
      <c r="M61" s="15"/>
    </row>
    <row r="62" spans="1:13" ht="37" customHeight="1" x14ac:dyDescent="0.3">
      <c r="A62" s="1"/>
      <c r="B62" s="2" t="s">
        <v>175</v>
      </c>
      <c r="C62" s="2" t="s">
        <v>176</v>
      </c>
      <c r="D62" s="2" t="s">
        <v>17</v>
      </c>
      <c r="E62" s="2" t="s">
        <v>177</v>
      </c>
      <c r="F62" s="13">
        <v>1</v>
      </c>
      <c r="G62" s="1"/>
      <c r="H62" s="1"/>
      <c r="I62" s="1"/>
      <c r="J62" s="14">
        <v>8.0000000000000004E-4</v>
      </c>
      <c r="K62" s="14">
        <f t="shared" si="0"/>
        <v>8.0000000000000004E-4</v>
      </c>
      <c r="L62" s="15"/>
      <c r="M62" s="15"/>
    </row>
    <row r="63" spans="1:13" ht="37" customHeight="1" x14ac:dyDescent="0.3">
      <c r="A63" s="1"/>
      <c r="B63" s="2" t="s">
        <v>178</v>
      </c>
      <c r="C63" s="2" t="s">
        <v>179</v>
      </c>
      <c r="D63" s="2" t="s">
        <v>17</v>
      </c>
      <c r="E63" s="2" t="s">
        <v>180</v>
      </c>
      <c r="F63" s="13">
        <v>2</v>
      </c>
      <c r="G63" s="1"/>
      <c r="H63" s="1"/>
      <c r="I63" s="1"/>
      <c r="J63" s="14">
        <v>8.0000000000000004E-4</v>
      </c>
      <c r="K63" s="14">
        <f t="shared" si="0"/>
        <v>1.6000000000000001E-3</v>
      </c>
      <c r="L63" s="15"/>
      <c r="M63" s="15"/>
    </row>
    <row r="64" spans="1:13" ht="37" customHeight="1" x14ac:dyDescent="0.3">
      <c r="A64" s="1"/>
      <c r="B64" s="2" t="s">
        <v>181</v>
      </c>
      <c r="C64" s="2" t="s">
        <v>182</v>
      </c>
      <c r="D64" s="2" t="s">
        <v>17</v>
      </c>
      <c r="E64" s="2" t="s">
        <v>183</v>
      </c>
      <c r="F64" s="13">
        <v>4</v>
      </c>
      <c r="G64" s="1"/>
      <c r="H64" s="1"/>
      <c r="I64" s="1"/>
      <c r="J64" s="14">
        <v>8.0000000000000004E-4</v>
      </c>
      <c r="K64" s="14">
        <f t="shared" si="0"/>
        <v>3.2000000000000002E-3</v>
      </c>
      <c r="L64" s="15"/>
      <c r="M64" s="15"/>
    </row>
    <row r="65" spans="1:13" ht="37" customHeight="1" x14ac:dyDescent="0.3">
      <c r="A65" s="1"/>
      <c r="B65" s="2" t="s">
        <v>184</v>
      </c>
      <c r="C65" s="2" t="s">
        <v>185</v>
      </c>
      <c r="D65" s="2" t="s">
        <v>17</v>
      </c>
      <c r="E65" s="2" t="s">
        <v>186</v>
      </c>
      <c r="F65" s="13">
        <v>4</v>
      </c>
      <c r="G65" s="1"/>
      <c r="H65" s="1"/>
      <c r="I65" s="1"/>
      <c r="J65" s="14">
        <v>8.0000000000000004E-4</v>
      </c>
      <c r="K65" s="14">
        <f t="shared" si="0"/>
        <v>3.2000000000000002E-3</v>
      </c>
      <c r="L65" s="15"/>
      <c r="M65" s="15"/>
    </row>
    <row r="66" spans="1:13" ht="37" customHeight="1" x14ac:dyDescent="0.3">
      <c r="A66" s="1"/>
      <c r="B66" s="2" t="s">
        <v>187</v>
      </c>
      <c r="C66" s="2" t="s">
        <v>188</v>
      </c>
      <c r="D66" s="2" t="s">
        <v>189</v>
      </c>
      <c r="E66" s="2" t="s">
        <v>190</v>
      </c>
      <c r="F66" s="13">
        <v>5</v>
      </c>
      <c r="G66" s="1"/>
      <c r="H66" s="1"/>
      <c r="I66" s="1"/>
      <c r="J66" s="14">
        <v>2.8999999999999998E-3</v>
      </c>
      <c r="K66" s="14">
        <f t="shared" si="0"/>
        <v>1.4500000000000001E-2</v>
      </c>
      <c r="L66" s="15"/>
      <c r="M66" s="15"/>
    </row>
    <row r="67" spans="1:13" ht="37" customHeight="1" x14ac:dyDescent="0.3">
      <c r="A67" s="46" t="s">
        <v>191</v>
      </c>
      <c r="B67" s="2" t="s">
        <v>192</v>
      </c>
      <c r="C67" s="2" t="s">
        <v>193</v>
      </c>
      <c r="D67" s="2" t="s">
        <v>194</v>
      </c>
      <c r="E67" s="2" t="s">
        <v>195</v>
      </c>
      <c r="F67" s="13">
        <v>4</v>
      </c>
      <c r="G67" s="1"/>
      <c r="H67" s="1"/>
      <c r="I67" s="1"/>
      <c r="J67" s="14">
        <v>1.61E-2</v>
      </c>
      <c r="K67" s="14">
        <f t="shared" si="0"/>
        <v>6.4399999999999999E-2</v>
      </c>
      <c r="L67" s="15"/>
      <c r="M67" s="15"/>
    </row>
    <row r="68" spans="1:13" ht="37" customHeight="1" x14ac:dyDescent="0.3">
      <c r="A68" s="1"/>
      <c r="B68" s="2" t="s">
        <v>196</v>
      </c>
      <c r="C68" s="2" t="s">
        <v>197</v>
      </c>
      <c r="D68" s="2" t="s">
        <v>194</v>
      </c>
      <c r="E68" s="2" t="s">
        <v>198</v>
      </c>
      <c r="F68" s="13">
        <v>14</v>
      </c>
      <c r="G68" s="1"/>
      <c r="H68" s="1"/>
      <c r="I68" s="1"/>
      <c r="J68" s="14">
        <v>2.8E-3</v>
      </c>
      <c r="K68" s="14">
        <f t="shared" ref="K68:K131" si="1">J68*F68</f>
        <v>3.9199999999999999E-2</v>
      </c>
      <c r="L68" s="15"/>
      <c r="M68" s="15"/>
    </row>
    <row r="69" spans="1:13" ht="37" customHeight="1" x14ac:dyDescent="0.3">
      <c r="A69" s="46" t="s">
        <v>191</v>
      </c>
      <c r="B69" s="2" t="s">
        <v>199</v>
      </c>
      <c r="C69" s="2" t="s">
        <v>20</v>
      </c>
      <c r="D69" s="2" t="s">
        <v>194</v>
      </c>
      <c r="E69" s="2" t="s">
        <v>200</v>
      </c>
      <c r="F69" s="13">
        <v>2</v>
      </c>
      <c r="G69" s="1"/>
      <c r="H69" s="1"/>
      <c r="I69" s="1"/>
      <c r="J69" s="14">
        <v>9.5999999999999992E-3</v>
      </c>
      <c r="K69" s="14">
        <f t="shared" si="1"/>
        <v>1.9199999999999998E-2</v>
      </c>
      <c r="L69" s="15"/>
      <c r="M69" s="15"/>
    </row>
    <row r="70" spans="1:13" ht="37" customHeight="1" x14ac:dyDescent="0.3">
      <c r="A70" s="46" t="s">
        <v>191</v>
      </c>
      <c r="B70" s="2" t="s">
        <v>201</v>
      </c>
      <c r="C70" s="2" t="s">
        <v>24</v>
      </c>
      <c r="D70" s="2" t="s">
        <v>194</v>
      </c>
      <c r="E70" s="2" t="s">
        <v>202</v>
      </c>
      <c r="F70" s="13">
        <v>2</v>
      </c>
      <c r="G70" s="1"/>
      <c r="H70" s="1"/>
      <c r="I70" s="1"/>
      <c r="J70" s="14">
        <v>1.15E-2</v>
      </c>
      <c r="K70" s="14">
        <f t="shared" si="1"/>
        <v>2.3E-2</v>
      </c>
      <c r="L70" s="15"/>
      <c r="M70" s="15"/>
    </row>
    <row r="71" spans="1:13" ht="37" customHeight="1" x14ac:dyDescent="0.3">
      <c r="A71" s="46" t="s">
        <v>191</v>
      </c>
      <c r="B71" s="2" t="s">
        <v>203</v>
      </c>
      <c r="C71" s="2" t="s">
        <v>204</v>
      </c>
      <c r="D71" s="2" t="s">
        <v>194</v>
      </c>
      <c r="E71" s="2" t="s">
        <v>205</v>
      </c>
      <c r="F71" s="13">
        <v>2</v>
      </c>
      <c r="G71" s="1"/>
      <c r="H71" s="1"/>
      <c r="I71" s="1"/>
      <c r="J71" s="14">
        <v>9.5999999999999992E-3</v>
      </c>
      <c r="K71" s="14">
        <f t="shared" si="1"/>
        <v>1.9199999999999998E-2</v>
      </c>
      <c r="L71" s="15"/>
      <c r="M71" s="15"/>
    </row>
    <row r="72" spans="1:13" ht="37" customHeight="1" x14ac:dyDescent="0.3">
      <c r="A72" s="46" t="s">
        <v>191</v>
      </c>
      <c r="B72" s="2" t="s">
        <v>206</v>
      </c>
      <c r="C72" s="2" t="s">
        <v>207</v>
      </c>
      <c r="D72" s="2" t="s">
        <v>194</v>
      </c>
      <c r="E72" s="2" t="s">
        <v>208</v>
      </c>
      <c r="F72" s="13">
        <v>2</v>
      </c>
      <c r="G72" s="1"/>
      <c r="H72" s="1"/>
      <c r="I72" s="1"/>
      <c r="J72" s="14">
        <v>9.5999999999999992E-3</v>
      </c>
      <c r="K72" s="14">
        <f t="shared" si="1"/>
        <v>1.9199999999999998E-2</v>
      </c>
      <c r="L72" s="15"/>
      <c r="M72" s="15"/>
    </row>
    <row r="73" spans="1:13" ht="37" customHeight="1" x14ac:dyDescent="0.3">
      <c r="A73" s="46" t="s">
        <v>191</v>
      </c>
      <c r="B73" s="2" t="s">
        <v>209</v>
      </c>
      <c r="C73" s="2" t="s">
        <v>30</v>
      </c>
      <c r="D73" s="2" t="s">
        <v>194</v>
      </c>
      <c r="E73" s="2" t="s">
        <v>210</v>
      </c>
      <c r="F73" s="13">
        <v>4</v>
      </c>
      <c r="G73" s="1"/>
      <c r="H73" s="1"/>
      <c r="I73" s="1"/>
      <c r="J73" s="14">
        <v>9.5999999999999992E-3</v>
      </c>
      <c r="K73" s="14">
        <f t="shared" si="1"/>
        <v>3.8399999999999997E-2</v>
      </c>
      <c r="L73" s="15"/>
      <c r="M73" s="15"/>
    </row>
    <row r="74" spans="1:13" ht="37" customHeight="1" x14ac:dyDescent="0.3">
      <c r="A74" s="1"/>
      <c r="B74" s="2" t="s">
        <v>211</v>
      </c>
      <c r="C74" s="2" t="s">
        <v>30</v>
      </c>
      <c r="D74" s="2" t="s">
        <v>194</v>
      </c>
      <c r="E74" s="2" t="s">
        <v>212</v>
      </c>
      <c r="F74" s="13">
        <v>2</v>
      </c>
      <c r="G74" s="1"/>
      <c r="H74" s="1"/>
      <c r="I74" s="1"/>
      <c r="J74" s="14">
        <v>1.2999999999999999E-3</v>
      </c>
      <c r="K74" s="14">
        <f t="shared" si="1"/>
        <v>2.5999999999999999E-3</v>
      </c>
      <c r="L74" s="15"/>
      <c r="M74" s="15"/>
    </row>
    <row r="75" spans="1:13" ht="37" customHeight="1" x14ac:dyDescent="0.3">
      <c r="A75" s="46" t="s">
        <v>191</v>
      </c>
      <c r="B75" s="2" t="s">
        <v>213</v>
      </c>
      <c r="C75" s="2" t="s">
        <v>214</v>
      </c>
      <c r="D75" s="2" t="s">
        <v>194</v>
      </c>
      <c r="E75" s="2" t="s">
        <v>215</v>
      </c>
      <c r="F75" s="13">
        <v>4</v>
      </c>
      <c r="G75" s="1"/>
      <c r="H75" s="1"/>
      <c r="I75" s="1"/>
      <c r="J75" s="14">
        <v>9.5999999999999992E-3</v>
      </c>
      <c r="K75" s="14">
        <f t="shared" si="1"/>
        <v>3.8399999999999997E-2</v>
      </c>
      <c r="L75" s="15"/>
      <c r="M75" s="15"/>
    </row>
    <row r="76" spans="1:13" ht="37" customHeight="1" x14ac:dyDescent="0.3">
      <c r="A76" s="46" t="s">
        <v>191</v>
      </c>
      <c r="B76" s="2" t="s">
        <v>213</v>
      </c>
      <c r="C76" s="2" t="s">
        <v>214</v>
      </c>
      <c r="D76" s="2" t="s">
        <v>189</v>
      </c>
      <c r="E76" s="2" t="s">
        <v>216</v>
      </c>
      <c r="F76" s="13">
        <v>4</v>
      </c>
      <c r="G76" s="1"/>
      <c r="H76" s="1"/>
      <c r="I76" s="1"/>
      <c r="J76" s="14">
        <v>9.5999999999999992E-3</v>
      </c>
      <c r="K76" s="14">
        <f t="shared" si="1"/>
        <v>3.8399999999999997E-2</v>
      </c>
      <c r="L76" s="15"/>
      <c r="M76" s="15"/>
    </row>
    <row r="77" spans="1:13" ht="37" customHeight="1" x14ac:dyDescent="0.3">
      <c r="A77" s="46" t="s">
        <v>191</v>
      </c>
      <c r="B77" s="2" t="s">
        <v>217</v>
      </c>
      <c r="C77" s="2" t="s">
        <v>218</v>
      </c>
      <c r="D77" s="2" t="s">
        <v>194</v>
      </c>
      <c r="E77" s="2" t="s">
        <v>219</v>
      </c>
      <c r="F77" s="13">
        <v>8</v>
      </c>
      <c r="G77" s="1"/>
      <c r="H77" s="1"/>
      <c r="I77" s="1"/>
      <c r="J77" s="14">
        <v>9.5999999999999992E-3</v>
      </c>
      <c r="K77" s="14">
        <f t="shared" si="1"/>
        <v>7.6799999999999993E-2</v>
      </c>
      <c r="L77" s="15"/>
      <c r="M77" s="15"/>
    </row>
    <row r="78" spans="1:13" ht="37" customHeight="1" x14ac:dyDescent="0.3">
      <c r="A78" s="46" t="s">
        <v>191</v>
      </c>
      <c r="B78" s="2" t="s">
        <v>220</v>
      </c>
      <c r="C78" s="2" t="s">
        <v>221</v>
      </c>
      <c r="D78" s="2" t="s">
        <v>194</v>
      </c>
      <c r="E78" s="2" t="s">
        <v>222</v>
      </c>
      <c r="F78" s="13">
        <v>2</v>
      </c>
      <c r="G78" s="1"/>
      <c r="H78" s="1"/>
      <c r="I78" s="1"/>
      <c r="J78" s="14">
        <v>9.5999999999999992E-3</v>
      </c>
      <c r="K78" s="14">
        <f t="shared" si="1"/>
        <v>1.9199999999999998E-2</v>
      </c>
      <c r="L78" s="15"/>
      <c r="M78" s="15"/>
    </row>
    <row r="79" spans="1:13" ht="37" customHeight="1" x14ac:dyDescent="0.3">
      <c r="A79" s="46" t="s">
        <v>191</v>
      </c>
      <c r="B79" s="2" t="s">
        <v>223</v>
      </c>
      <c r="C79" s="2" t="s">
        <v>224</v>
      </c>
      <c r="D79" s="2" t="s">
        <v>189</v>
      </c>
      <c r="E79" s="2" t="s">
        <v>225</v>
      </c>
      <c r="F79" s="13">
        <v>4</v>
      </c>
      <c r="G79" s="1"/>
      <c r="H79" s="1"/>
      <c r="I79" s="1"/>
      <c r="J79" s="14">
        <v>1.1535999999999999E-2</v>
      </c>
      <c r="K79" s="14">
        <f t="shared" si="1"/>
        <v>4.6143999999999998E-2</v>
      </c>
      <c r="L79" s="15"/>
      <c r="M79" s="15"/>
    </row>
    <row r="80" spans="1:13" ht="37" customHeight="1" x14ac:dyDescent="0.3">
      <c r="A80" s="1"/>
      <c r="B80" s="2" t="s">
        <v>226</v>
      </c>
      <c r="C80" s="2" t="s">
        <v>104</v>
      </c>
      <c r="D80" s="2" t="s">
        <v>194</v>
      </c>
      <c r="E80" s="2" t="s">
        <v>227</v>
      </c>
      <c r="F80" s="13">
        <v>2</v>
      </c>
      <c r="G80" s="1"/>
      <c r="H80" s="1"/>
      <c r="I80" s="1"/>
      <c r="J80" s="14">
        <v>1.2999999999999999E-3</v>
      </c>
      <c r="K80" s="14">
        <f t="shared" si="1"/>
        <v>2.5999999999999999E-3</v>
      </c>
      <c r="L80" s="15"/>
      <c r="M80" s="15"/>
    </row>
    <row r="81" spans="1:13" ht="37" customHeight="1" x14ac:dyDescent="0.3">
      <c r="A81" s="46" t="s">
        <v>191</v>
      </c>
      <c r="B81" s="2" t="s">
        <v>228</v>
      </c>
      <c r="C81" s="2" t="s">
        <v>229</v>
      </c>
      <c r="D81" s="2" t="s">
        <v>194</v>
      </c>
      <c r="E81" s="2" t="s">
        <v>230</v>
      </c>
      <c r="F81" s="13">
        <v>7</v>
      </c>
      <c r="G81" s="1"/>
      <c r="H81" s="1"/>
      <c r="I81" s="1"/>
      <c r="J81" s="14">
        <v>1.1535999999999999E-2</v>
      </c>
      <c r="K81" s="14">
        <f t="shared" si="1"/>
        <v>8.0752000000000004E-2</v>
      </c>
      <c r="L81" s="15"/>
      <c r="M81" s="15"/>
    </row>
    <row r="82" spans="1:13" ht="37" customHeight="1" x14ac:dyDescent="0.3">
      <c r="A82" s="46" t="s">
        <v>191</v>
      </c>
      <c r="B82" s="2" t="s">
        <v>231</v>
      </c>
      <c r="C82" s="2" t="s">
        <v>112</v>
      </c>
      <c r="D82" s="2" t="s">
        <v>194</v>
      </c>
      <c r="E82" s="2" t="s">
        <v>232</v>
      </c>
      <c r="F82" s="13">
        <v>2</v>
      </c>
      <c r="G82" s="1"/>
      <c r="H82" s="1"/>
      <c r="I82" s="1"/>
      <c r="J82" s="14">
        <v>9.5999999999999992E-3</v>
      </c>
      <c r="K82" s="14">
        <f t="shared" si="1"/>
        <v>1.9199999999999998E-2</v>
      </c>
      <c r="L82" s="15"/>
      <c r="M82" s="15"/>
    </row>
    <row r="83" spans="1:13" ht="37" customHeight="1" x14ac:dyDescent="0.3">
      <c r="A83" s="46" t="s">
        <v>191</v>
      </c>
      <c r="B83" s="2" t="s">
        <v>233</v>
      </c>
      <c r="C83" s="2" t="s">
        <v>45</v>
      </c>
      <c r="D83" s="2" t="s">
        <v>194</v>
      </c>
      <c r="E83" s="2" t="s">
        <v>234</v>
      </c>
      <c r="F83" s="13">
        <v>20</v>
      </c>
      <c r="G83" s="1"/>
      <c r="H83" s="1"/>
      <c r="I83" s="1"/>
      <c r="J83" s="14">
        <v>9.5999999999999992E-3</v>
      </c>
      <c r="K83" s="14">
        <f t="shared" si="1"/>
        <v>0.192</v>
      </c>
      <c r="L83" s="15"/>
      <c r="M83" s="15"/>
    </row>
    <row r="84" spans="1:13" ht="37" customHeight="1" x14ac:dyDescent="0.3">
      <c r="A84" s="46" t="s">
        <v>191</v>
      </c>
      <c r="B84" s="2" t="s">
        <v>233</v>
      </c>
      <c r="C84" s="2" t="s">
        <v>235</v>
      </c>
      <c r="D84" s="2" t="s">
        <v>189</v>
      </c>
      <c r="E84" s="2" t="s">
        <v>236</v>
      </c>
      <c r="F84" s="13">
        <v>2</v>
      </c>
      <c r="G84" s="1"/>
      <c r="H84" s="1"/>
      <c r="I84" s="1"/>
      <c r="J84" s="14">
        <v>9.5999999999999992E-3</v>
      </c>
      <c r="K84" s="14">
        <f t="shared" si="1"/>
        <v>1.9199999999999998E-2</v>
      </c>
      <c r="L84" s="15"/>
      <c r="M84" s="15"/>
    </row>
    <row r="85" spans="1:13" ht="37" customHeight="1" x14ac:dyDescent="0.3">
      <c r="A85" s="1"/>
      <c r="B85" s="2" t="s">
        <v>237</v>
      </c>
      <c r="C85" s="2" t="s">
        <v>118</v>
      </c>
      <c r="D85" s="2" t="s">
        <v>194</v>
      </c>
      <c r="E85" s="2" t="s">
        <v>238</v>
      </c>
      <c r="F85" s="13">
        <v>3</v>
      </c>
      <c r="G85" s="1"/>
      <c r="H85" s="1"/>
      <c r="I85" s="1"/>
      <c r="J85" s="14">
        <v>1.2999999999999999E-3</v>
      </c>
      <c r="K85" s="14">
        <f t="shared" si="1"/>
        <v>3.8999999999999998E-3</v>
      </c>
      <c r="L85" s="15"/>
      <c r="M85" s="15"/>
    </row>
    <row r="86" spans="1:13" ht="37" customHeight="1" x14ac:dyDescent="0.3">
      <c r="A86" s="46" t="s">
        <v>191</v>
      </c>
      <c r="B86" s="2" t="s">
        <v>239</v>
      </c>
      <c r="C86" s="2" t="s">
        <v>240</v>
      </c>
      <c r="D86" s="2" t="s">
        <v>194</v>
      </c>
      <c r="E86" s="2" t="s">
        <v>241</v>
      </c>
      <c r="F86" s="13">
        <v>2</v>
      </c>
      <c r="G86" s="1"/>
      <c r="H86" s="1"/>
      <c r="I86" s="1"/>
      <c r="J86" s="14">
        <v>9.5999999999999992E-3</v>
      </c>
      <c r="K86" s="14">
        <f t="shared" si="1"/>
        <v>1.9199999999999998E-2</v>
      </c>
      <c r="L86" s="15"/>
      <c r="M86" s="15"/>
    </row>
    <row r="87" spans="1:13" ht="37" customHeight="1" x14ac:dyDescent="0.3">
      <c r="A87" s="46" t="s">
        <v>191</v>
      </c>
      <c r="B87" s="2" t="s">
        <v>242</v>
      </c>
      <c r="C87" s="2" t="s">
        <v>243</v>
      </c>
      <c r="D87" s="2" t="s">
        <v>194</v>
      </c>
      <c r="E87" s="2" t="s">
        <v>244</v>
      </c>
      <c r="F87" s="13">
        <v>2</v>
      </c>
      <c r="G87" s="1"/>
      <c r="H87" s="1"/>
      <c r="I87" s="1"/>
      <c r="J87" s="14">
        <v>9.5999999999999992E-3</v>
      </c>
      <c r="K87" s="14">
        <f t="shared" si="1"/>
        <v>1.9199999999999998E-2</v>
      </c>
      <c r="L87" s="15"/>
      <c r="M87" s="15"/>
    </row>
    <row r="88" spans="1:13" ht="37" customHeight="1" x14ac:dyDescent="0.3">
      <c r="A88" s="46" t="s">
        <v>191</v>
      </c>
      <c r="B88" s="2" t="s">
        <v>245</v>
      </c>
      <c r="C88" s="2" t="s">
        <v>130</v>
      </c>
      <c r="D88" s="2" t="s">
        <v>194</v>
      </c>
      <c r="E88" s="2" t="s">
        <v>246</v>
      </c>
      <c r="F88" s="13">
        <v>2</v>
      </c>
      <c r="G88" s="1"/>
      <c r="H88" s="1"/>
      <c r="I88" s="1"/>
      <c r="J88" s="14">
        <v>9.5999999999999992E-3</v>
      </c>
      <c r="K88" s="14">
        <f t="shared" si="1"/>
        <v>1.9199999999999998E-2</v>
      </c>
      <c r="L88" s="15"/>
      <c r="M88" s="15"/>
    </row>
    <row r="89" spans="1:13" ht="37" customHeight="1" x14ac:dyDescent="0.3">
      <c r="A89" s="46" t="s">
        <v>191</v>
      </c>
      <c r="B89" s="2" t="s">
        <v>247</v>
      </c>
      <c r="C89" s="2" t="s">
        <v>248</v>
      </c>
      <c r="D89" s="2" t="s">
        <v>194</v>
      </c>
      <c r="E89" s="2" t="s">
        <v>249</v>
      </c>
      <c r="F89" s="13">
        <v>2</v>
      </c>
      <c r="G89" s="1"/>
      <c r="H89" s="1"/>
      <c r="I89" s="1"/>
      <c r="J89" s="14">
        <v>9.5999999999999992E-3</v>
      </c>
      <c r="K89" s="14">
        <f t="shared" si="1"/>
        <v>1.9199999999999998E-2</v>
      </c>
      <c r="L89" s="15"/>
      <c r="M89" s="15"/>
    </row>
    <row r="90" spans="1:13" ht="37" customHeight="1" x14ac:dyDescent="0.3">
      <c r="A90" s="46" t="s">
        <v>191</v>
      </c>
      <c r="B90" s="2" t="s">
        <v>250</v>
      </c>
      <c r="C90" s="2" t="s">
        <v>153</v>
      </c>
      <c r="D90" s="2" t="s">
        <v>189</v>
      </c>
      <c r="E90" s="2" t="s">
        <v>251</v>
      </c>
      <c r="F90" s="13">
        <v>4</v>
      </c>
      <c r="G90" s="1"/>
      <c r="H90" s="1"/>
      <c r="I90" s="1"/>
      <c r="J90" s="14">
        <v>7.4999999999999997E-3</v>
      </c>
      <c r="K90" s="14">
        <f t="shared" si="1"/>
        <v>0.03</v>
      </c>
      <c r="L90" s="15"/>
      <c r="M90" s="15"/>
    </row>
    <row r="91" spans="1:13" ht="37" customHeight="1" x14ac:dyDescent="0.3">
      <c r="A91" s="1"/>
      <c r="B91" s="2" t="s">
        <v>252</v>
      </c>
      <c r="C91" s="2" t="s">
        <v>253</v>
      </c>
      <c r="D91" s="2" t="s">
        <v>194</v>
      </c>
      <c r="E91" s="2" t="s">
        <v>254</v>
      </c>
      <c r="F91" s="13">
        <v>3</v>
      </c>
      <c r="G91" s="1"/>
      <c r="H91" s="1"/>
      <c r="I91" s="1"/>
      <c r="J91" s="14">
        <v>1.2999999999999999E-3</v>
      </c>
      <c r="K91" s="14">
        <f t="shared" si="1"/>
        <v>3.8999999999999998E-3</v>
      </c>
      <c r="L91" s="15"/>
      <c r="M91" s="15"/>
    </row>
    <row r="92" spans="1:13" ht="37" customHeight="1" x14ac:dyDescent="0.3">
      <c r="A92" s="46" t="s">
        <v>191</v>
      </c>
      <c r="B92" s="2" t="s">
        <v>255</v>
      </c>
      <c r="C92" s="2" t="s">
        <v>256</v>
      </c>
      <c r="D92" s="2" t="s">
        <v>194</v>
      </c>
      <c r="E92" s="2" t="s">
        <v>257</v>
      </c>
      <c r="F92" s="13">
        <v>2</v>
      </c>
      <c r="G92" s="1"/>
      <c r="H92" s="1"/>
      <c r="I92" s="1"/>
      <c r="J92" s="14">
        <v>1.61E-2</v>
      </c>
      <c r="K92" s="14">
        <f t="shared" si="1"/>
        <v>3.2199999999999999E-2</v>
      </c>
      <c r="L92" s="15"/>
      <c r="M92" s="15"/>
    </row>
    <row r="93" spans="1:13" ht="37" customHeight="1" x14ac:dyDescent="0.3">
      <c r="A93" s="46" t="s">
        <v>191</v>
      </c>
      <c r="B93" s="2" t="s">
        <v>258</v>
      </c>
      <c r="C93" s="2" t="s">
        <v>259</v>
      </c>
      <c r="D93" s="2" t="s">
        <v>194</v>
      </c>
      <c r="E93" s="2" t="s">
        <v>260</v>
      </c>
      <c r="F93" s="13">
        <v>6</v>
      </c>
      <c r="G93" s="1"/>
      <c r="H93" s="1"/>
      <c r="I93" s="1"/>
      <c r="J93" s="14">
        <v>1.61E-2</v>
      </c>
      <c r="K93" s="14">
        <f t="shared" si="1"/>
        <v>9.6600000000000005E-2</v>
      </c>
      <c r="L93" s="15"/>
      <c r="M93" s="15"/>
    </row>
    <row r="94" spans="1:13" ht="37" customHeight="1" x14ac:dyDescent="0.3">
      <c r="A94" s="46" t="s">
        <v>191</v>
      </c>
      <c r="B94" s="2" t="s">
        <v>261</v>
      </c>
      <c r="C94" s="2" t="s">
        <v>262</v>
      </c>
      <c r="D94" s="2" t="s">
        <v>194</v>
      </c>
      <c r="E94" s="2" t="s">
        <v>263</v>
      </c>
      <c r="F94" s="13">
        <v>4</v>
      </c>
      <c r="G94" s="1"/>
      <c r="H94" s="1"/>
      <c r="I94" s="1"/>
      <c r="J94" s="14">
        <v>1.61E-2</v>
      </c>
      <c r="K94" s="14">
        <f t="shared" si="1"/>
        <v>6.4399999999999999E-2</v>
      </c>
      <c r="L94" s="15"/>
      <c r="M94" s="15"/>
    </row>
    <row r="95" spans="1:13" ht="37" customHeight="1" x14ac:dyDescent="0.3">
      <c r="A95" s="46" t="s">
        <v>191</v>
      </c>
      <c r="B95" s="2" t="s">
        <v>264</v>
      </c>
      <c r="C95" s="2" t="s">
        <v>265</v>
      </c>
      <c r="D95" s="2" t="s">
        <v>194</v>
      </c>
      <c r="E95" s="2" t="s">
        <v>266</v>
      </c>
      <c r="F95" s="13">
        <v>4</v>
      </c>
      <c r="G95" s="1"/>
      <c r="H95" s="1"/>
      <c r="I95" s="1"/>
      <c r="J95" s="14">
        <v>1.61E-2</v>
      </c>
      <c r="K95" s="14">
        <f t="shared" si="1"/>
        <v>6.4399999999999999E-2</v>
      </c>
      <c r="L95" s="15"/>
      <c r="M95" s="15"/>
    </row>
    <row r="96" spans="1:13" ht="37" customHeight="1" x14ac:dyDescent="0.3">
      <c r="A96" s="46" t="s">
        <v>191</v>
      </c>
      <c r="B96" s="2" t="s">
        <v>267</v>
      </c>
      <c r="C96" s="2" t="s">
        <v>268</v>
      </c>
      <c r="D96" s="2" t="s">
        <v>194</v>
      </c>
      <c r="E96" s="2" t="s">
        <v>269</v>
      </c>
      <c r="F96" s="13">
        <v>4</v>
      </c>
      <c r="G96" s="1"/>
      <c r="H96" s="1"/>
      <c r="I96" s="1"/>
      <c r="J96" s="14">
        <v>1.61E-2</v>
      </c>
      <c r="K96" s="14">
        <f t="shared" si="1"/>
        <v>6.4399999999999999E-2</v>
      </c>
      <c r="L96" s="15"/>
      <c r="M96" s="15"/>
    </row>
    <row r="97" spans="1:13" ht="37" customHeight="1" x14ac:dyDescent="0.3">
      <c r="A97" s="46" t="s">
        <v>191</v>
      </c>
      <c r="B97" s="2" t="s">
        <v>270</v>
      </c>
      <c r="C97" s="2" t="s">
        <v>271</v>
      </c>
      <c r="D97" s="2" t="s">
        <v>189</v>
      </c>
      <c r="E97" s="2" t="s">
        <v>272</v>
      </c>
      <c r="F97" s="13">
        <v>4</v>
      </c>
      <c r="G97" s="1"/>
      <c r="H97" s="1"/>
      <c r="I97" s="1"/>
      <c r="J97" s="14">
        <v>1.61E-2</v>
      </c>
      <c r="K97" s="14">
        <f t="shared" si="1"/>
        <v>6.4399999999999999E-2</v>
      </c>
      <c r="L97" s="15"/>
      <c r="M97" s="15"/>
    </row>
    <row r="98" spans="1:13" ht="37" customHeight="1" x14ac:dyDescent="0.3">
      <c r="A98" s="46" t="s">
        <v>191</v>
      </c>
      <c r="B98" s="2" t="s">
        <v>273</v>
      </c>
      <c r="C98" s="2" t="s">
        <v>274</v>
      </c>
      <c r="D98" s="2" t="s">
        <v>189</v>
      </c>
      <c r="E98" s="2" t="s">
        <v>275</v>
      </c>
      <c r="F98" s="13">
        <v>6</v>
      </c>
      <c r="G98" s="1"/>
      <c r="H98" s="1"/>
      <c r="I98" s="1"/>
      <c r="J98" s="14">
        <v>1.61E-2</v>
      </c>
      <c r="K98" s="14">
        <f t="shared" si="1"/>
        <v>9.6600000000000005E-2</v>
      </c>
      <c r="L98" s="15"/>
      <c r="M98" s="15"/>
    </row>
    <row r="99" spans="1:13" ht="37" customHeight="1" x14ac:dyDescent="0.3">
      <c r="A99" s="46" t="s">
        <v>191</v>
      </c>
      <c r="B99" s="2" t="s">
        <v>276</v>
      </c>
      <c r="C99" s="2" t="s">
        <v>277</v>
      </c>
      <c r="D99" s="2" t="s">
        <v>194</v>
      </c>
      <c r="E99" s="2" t="s">
        <v>278</v>
      </c>
      <c r="F99" s="13">
        <v>6</v>
      </c>
      <c r="G99" s="1"/>
      <c r="H99" s="1"/>
      <c r="I99" s="1"/>
      <c r="J99" s="14">
        <v>1.61E-2</v>
      </c>
      <c r="K99" s="14">
        <f t="shared" si="1"/>
        <v>9.6600000000000005E-2</v>
      </c>
      <c r="L99" s="15"/>
      <c r="M99" s="15"/>
    </row>
    <row r="100" spans="1:13" ht="37" customHeight="1" x14ac:dyDescent="0.3">
      <c r="A100" s="46" t="s">
        <v>191</v>
      </c>
      <c r="B100" s="2" t="s">
        <v>279</v>
      </c>
      <c r="C100" s="2" t="s">
        <v>280</v>
      </c>
      <c r="D100" s="2" t="s">
        <v>194</v>
      </c>
      <c r="E100" s="2" t="s">
        <v>281</v>
      </c>
      <c r="F100" s="13">
        <v>4</v>
      </c>
      <c r="G100" s="1"/>
      <c r="H100" s="1"/>
      <c r="I100" s="1"/>
      <c r="J100" s="14">
        <v>1.61E-2</v>
      </c>
      <c r="K100" s="14">
        <f t="shared" si="1"/>
        <v>6.4399999999999999E-2</v>
      </c>
      <c r="L100" s="15"/>
      <c r="M100" s="15"/>
    </row>
    <row r="101" spans="1:13" ht="37" customHeight="1" x14ac:dyDescent="0.3">
      <c r="A101" s="46" t="s">
        <v>191</v>
      </c>
      <c r="B101" s="2" t="s">
        <v>282</v>
      </c>
      <c r="C101" s="2" t="s">
        <v>283</v>
      </c>
      <c r="D101" s="2" t="s">
        <v>194</v>
      </c>
      <c r="E101" s="2" t="s">
        <v>284</v>
      </c>
      <c r="F101" s="13">
        <v>2</v>
      </c>
      <c r="G101" s="1"/>
      <c r="H101" s="1"/>
      <c r="I101" s="1"/>
      <c r="J101" s="14">
        <v>1.61E-2</v>
      </c>
      <c r="K101" s="14">
        <f t="shared" si="1"/>
        <v>3.2199999999999999E-2</v>
      </c>
      <c r="L101" s="15"/>
      <c r="M101" s="15"/>
    </row>
    <row r="102" spans="1:13" ht="37" customHeight="1" x14ac:dyDescent="0.3">
      <c r="A102" s="46" t="s">
        <v>191</v>
      </c>
      <c r="B102" s="2" t="s">
        <v>282</v>
      </c>
      <c r="C102" s="2" t="s">
        <v>285</v>
      </c>
      <c r="D102" s="2" t="s">
        <v>194</v>
      </c>
      <c r="E102" s="2" t="s">
        <v>286</v>
      </c>
      <c r="F102" s="13">
        <v>2</v>
      </c>
      <c r="G102" s="1"/>
      <c r="H102" s="1"/>
      <c r="I102" s="1"/>
      <c r="J102" s="14">
        <v>1.61E-2</v>
      </c>
      <c r="K102" s="14">
        <f t="shared" si="1"/>
        <v>3.2199999999999999E-2</v>
      </c>
      <c r="L102" s="15"/>
      <c r="M102" s="15"/>
    </row>
    <row r="103" spans="1:13" ht="37" customHeight="1" x14ac:dyDescent="0.3">
      <c r="A103" s="46" t="s">
        <v>191</v>
      </c>
      <c r="B103" s="2" t="s">
        <v>287</v>
      </c>
      <c r="C103" s="2" t="s">
        <v>288</v>
      </c>
      <c r="D103" s="2" t="s">
        <v>194</v>
      </c>
      <c r="E103" s="2" t="s">
        <v>289</v>
      </c>
      <c r="F103" s="13">
        <v>4</v>
      </c>
      <c r="G103" s="1"/>
      <c r="H103" s="1"/>
      <c r="I103" s="1"/>
      <c r="J103" s="14">
        <v>1.61E-2</v>
      </c>
      <c r="K103" s="14">
        <f t="shared" si="1"/>
        <v>6.4399999999999999E-2</v>
      </c>
      <c r="L103" s="15"/>
      <c r="M103" s="15"/>
    </row>
    <row r="104" spans="1:13" ht="37" customHeight="1" x14ac:dyDescent="0.3">
      <c r="A104" s="46" t="s">
        <v>191</v>
      </c>
      <c r="B104" s="2" t="s">
        <v>290</v>
      </c>
      <c r="C104" s="2" t="s">
        <v>291</v>
      </c>
      <c r="D104" s="2" t="s">
        <v>194</v>
      </c>
      <c r="E104" s="2" t="s">
        <v>292</v>
      </c>
      <c r="F104" s="13">
        <v>4</v>
      </c>
      <c r="G104" s="1"/>
      <c r="H104" s="1"/>
      <c r="I104" s="1"/>
      <c r="J104" s="14">
        <v>1.61E-2</v>
      </c>
      <c r="K104" s="14">
        <f t="shared" si="1"/>
        <v>6.4399999999999999E-2</v>
      </c>
      <c r="L104" s="15"/>
      <c r="M104" s="15"/>
    </row>
    <row r="105" spans="1:13" ht="37" customHeight="1" x14ac:dyDescent="0.3">
      <c r="A105" s="46" t="s">
        <v>191</v>
      </c>
      <c r="B105" s="2" t="s">
        <v>293</v>
      </c>
      <c r="C105" s="2" t="s">
        <v>294</v>
      </c>
      <c r="D105" s="2" t="s">
        <v>194</v>
      </c>
      <c r="E105" s="2" t="s">
        <v>295</v>
      </c>
      <c r="F105" s="13">
        <v>4</v>
      </c>
      <c r="G105" s="1"/>
      <c r="H105" s="1"/>
      <c r="I105" s="1"/>
      <c r="J105" s="14">
        <v>1.61E-2</v>
      </c>
      <c r="K105" s="14">
        <f t="shared" si="1"/>
        <v>6.4399999999999999E-2</v>
      </c>
      <c r="L105" s="15"/>
      <c r="M105" s="15"/>
    </row>
    <row r="106" spans="1:13" ht="37" customHeight="1" x14ac:dyDescent="0.3">
      <c r="A106" s="46" t="s">
        <v>191</v>
      </c>
      <c r="B106" s="2" t="s">
        <v>296</v>
      </c>
      <c r="C106" s="2" t="s">
        <v>297</v>
      </c>
      <c r="D106" s="2" t="s">
        <v>194</v>
      </c>
      <c r="E106" s="2" t="s">
        <v>298</v>
      </c>
      <c r="F106" s="13">
        <v>2</v>
      </c>
      <c r="G106" s="1"/>
      <c r="H106" s="1"/>
      <c r="I106" s="1"/>
      <c r="J106" s="14">
        <v>1.15E-2</v>
      </c>
      <c r="K106" s="14">
        <f t="shared" si="1"/>
        <v>2.3E-2</v>
      </c>
      <c r="L106" s="15"/>
      <c r="M106" s="15"/>
    </row>
    <row r="107" spans="1:13" ht="37" customHeight="1" x14ac:dyDescent="0.3">
      <c r="A107" s="46" t="s">
        <v>191</v>
      </c>
      <c r="B107" s="2" t="s">
        <v>299</v>
      </c>
      <c r="C107" s="2" t="s">
        <v>300</v>
      </c>
      <c r="D107" s="2" t="s">
        <v>189</v>
      </c>
      <c r="E107" s="2" t="s">
        <v>301</v>
      </c>
      <c r="F107" s="13">
        <v>1</v>
      </c>
      <c r="G107" s="1"/>
      <c r="H107" s="1"/>
      <c r="I107" s="1"/>
      <c r="J107" s="14">
        <v>1.15E-2</v>
      </c>
      <c r="K107" s="14">
        <f t="shared" si="1"/>
        <v>1.15E-2</v>
      </c>
      <c r="L107" s="15"/>
      <c r="M107" s="15"/>
    </row>
    <row r="108" spans="1:13" ht="37" customHeight="1" x14ac:dyDescent="0.3">
      <c r="A108" s="46" t="s">
        <v>191</v>
      </c>
      <c r="B108" s="2" t="s">
        <v>302</v>
      </c>
      <c r="C108" s="2" t="s">
        <v>303</v>
      </c>
      <c r="D108" s="2" t="s">
        <v>189</v>
      </c>
      <c r="E108" s="2" t="s">
        <v>304</v>
      </c>
      <c r="F108" s="13">
        <v>4</v>
      </c>
      <c r="G108" s="1"/>
      <c r="H108" s="1"/>
      <c r="I108" s="1"/>
      <c r="J108" s="14">
        <v>1.15E-2</v>
      </c>
      <c r="K108" s="14">
        <f t="shared" si="1"/>
        <v>4.5999999999999999E-2</v>
      </c>
      <c r="L108" s="15"/>
      <c r="M108" s="15"/>
    </row>
    <row r="109" spans="1:13" ht="37" customHeight="1" x14ac:dyDescent="0.3">
      <c r="A109" s="1"/>
      <c r="B109" s="2" t="s">
        <v>305</v>
      </c>
      <c r="C109" s="2" t="s">
        <v>80</v>
      </c>
      <c r="D109" s="2" t="s">
        <v>189</v>
      </c>
      <c r="E109" s="2" t="s">
        <v>306</v>
      </c>
      <c r="F109" s="13">
        <v>43</v>
      </c>
      <c r="G109" s="1"/>
      <c r="H109" s="1"/>
      <c r="I109" s="1"/>
      <c r="J109" s="14">
        <v>1.2999999999999999E-3</v>
      </c>
      <c r="K109" s="14">
        <f t="shared" si="1"/>
        <v>5.5899999999999998E-2</v>
      </c>
      <c r="L109" s="15"/>
      <c r="M109" s="15"/>
    </row>
    <row r="110" spans="1:13" ht="37" customHeight="1" x14ac:dyDescent="0.3">
      <c r="A110" s="1"/>
      <c r="B110" s="2" t="s">
        <v>307</v>
      </c>
      <c r="C110" s="2" t="s">
        <v>91</v>
      </c>
      <c r="D110" s="2" t="s">
        <v>189</v>
      </c>
      <c r="E110" s="2" t="s">
        <v>308</v>
      </c>
      <c r="F110" s="13">
        <v>4</v>
      </c>
      <c r="G110" s="1"/>
      <c r="H110" s="1"/>
      <c r="I110" s="1"/>
      <c r="J110" s="14">
        <v>1.2999999999999999E-3</v>
      </c>
      <c r="K110" s="14">
        <f t="shared" si="1"/>
        <v>5.1999999999999998E-3</v>
      </c>
      <c r="L110" s="15"/>
      <c r="M110" s="15"/>
    </row>
    <row r="111" spans="1:13" ht="37" customHeight="1" x14ac:dyDescent="0.3">
      <c r="A111" s="1"/>
      <c r="B111" s="2" t="s">
        <v>309</v>
      </c>
      <c r="C111" s="2" t="s">
        <v>310</v>
      </c>
      <c r="D111" s="2" t="s">
        <v>189</v>
      </c>
      <c r="E111" s="2" t="s">
        <v>311</v>
      </c>
      <c r="F111" s="13">
        <v>2</v>
      </c>
      <c r="G111" s="1"/>
      <c r="H111" s="1"/>
      <c r="I111" s="1"/>
      <c r="J111" s="14">
        <v>1.2999999999999999E-3</v>
      </c>
      <c r="K111" s="14">
        <f t="shared" si="1"/>
        <v>2.5999999999999999E-3</v>
      </c>
      <c r="L111" s="15"/>
      <c r="M111" s="15"/>
    </row>
    <row r="112" spans="1:13" ht="37" customHeight="1" x14ac:dyDescent="0.3">
      <c r="A112" s="1"/>
      <c r="B112" s="2" t="s">
        <v>312</v>
      </c>
      <c r="C112" s="2" t="s">
        <v>313</v>
      </c>
      <c r="D112" s="2" t="s">
        <v>189</v>
      </c>
      <c r="E112" s="2" t="s">
        <v>314</v>
      </c>
      <c r="F112" s="13">
        <v>1</v>
      </c>
      <c r="G112" s="1"/>
      <c r="H112" s="1"/>
      <c r="I112" s="1"/>
      <c r="J112" s="14">
        <v>1.2999999999999999E-3</v>
      </c>
      <c r="K112" s="14">
        <f t="shared" si="1"/>
        <v>1.2999999999999999E-3</v>
      </c>
      <c r="L112" s="15"/>
      <c r="M112" s="15"/>
    </row>
    <row r="113" spans="1:13" ht="37" customHeight="1" x14ac:dyDescent="0.3">
      <c r="A113" s="1"/>
      <c r="B113" s="2" t="s">
        <v>315</v>
      </c>
      <c r="C113" s="2" t="s">
        <v>45</v>
      </c>
      <c r="D113" s="2" t="s">
        <v>194</v>
      </c>
      <c r="E113" s="2" t="s">
        <v>316</v>
      </c>
      <c r="F113" s="13">
        <v>2</v>
      </c>
      <c r="G113" s="1"/>
      <c r="H113" s="1"/>
      <c r="I113" s="1"/>
      <c r="J113" s="14">
        <v>1.2999999999999999E-3</v>
      </c>
      <c r="K113" s="14">
        <f t="shared" si="1"/>
        <v>2.5999999999999999E-3</v>
      </c>
      <c r="L113" s="15"/>
      <c r="M113" s="15"/>
    </row>
    <row r="114" spans="1:13" ht="37" customHeight="1" x14ac:dyDescent="0.3">
      <c r="A114" s="1"/>
      <c r="B114" s="2" t="s">
        <v>317</v>
      </c>
      <c r="C114" s="2" t="s">
        <v>318</v>
      </c>
      <c r="D114" s="2" t="s">
        <v>189</v>
      </c>
      <c r="E114" s="2" t="s">
        <v>319</v>
      </c>
      <c r="F114" s="13">
        <v>3</v>
      </c>
      <c r="G114" s="1"/>
      <c r="H114" s="1"/>
      <c r="I114" s="1"/>
      <c r="J114" s="14">
        <v>1.2999999999999999E-3</v>
      </c>
      <c r="K114" s="14">
        <f t="shared" si="1"/>
        <v>3.8999999999999998E-3</v>
      </c>
      <c r="L114" s="15"/>
      <c r="M114" s="15"/>
    </row>
    <row r="115" spans="1:13" ht="37" customHeight="1" x14ac:dyDescent="0.3">
      <c r="A115" s="1"/>
      <c r="B115" s="2" t="s">
        <v>320</v>
      </c>
      <c r="C115" s="2" t="s">
        <v>61</v>
      </c>
      <c r="D115" s="2" t="s">
        <v>194</v>
      </c>
      <c r="E115" s="2" t="s">
        <v>321</v>
      </c>
      <c r="F115" s="13">
        <v>1</v>
      </c>
      <c r="G115" s="1"/>
      <c r="H115" s="1"/>
      <c r="I115" s="1"/>
      <c r="J115" s="14">
        <v>1.2999999999999999E-3</v>
      </c>
      <c r="K115" s="14">
        <f t="shared" si="1"/>
        <v>1.2999999999999999E-3</v>
      </c>
      <c r="L115" s="15"/>
      <c r="M115" s="15"/>
    </row>
    <row r="116" spans="1:13" ht="37" customHeight="1" x14ac:dyDescent="0.3">
      <c r="A116" s="1"/>
      <c r="B116" s="2" t="s">
        <v>322</v>
      </c>
      <c r="C116" s="2" t="s">
        <v>163</v>
      </c>
      <c r="D116" s="2" t="s">
        <v>194</v>
      </c>
      <c r="E116" s="2" t="s">
        <v>323</v>
      </c>
      <c r="F116" s="13">
        <v>1</v>
      </c>
      <c r="G116" s="1"/>
      <c r="H116" s="1"/>
      <c r="I116" s="1"/>
      <c r="J116" s="14">
        <v>1.2999999999999999E-3</v>
      </c>
      <c r="K116" s="14">
        <f t="shared" si="1"/>
        <v>1.2999999999999999E-3</v>
      </c>
      <c r="L116" s="15"/>
      <c r="M116" s="15"/>
    </row>
    <row r="117" spans="1:13" ht="37" customHeight="1" x14ac:dyDescent="0.3">
      <c r="A117" s="46" t="s">
        <v>191</v>
      </c>
      <c r="B117" s="2" t="s">
        <v>324</v>
      </c>
      <c r="C117" s="2" t="s">
        <v>325</v>
      </c>
      <c r="D117" s="2" t="s">
        <v>189</v>
      </c>
      <c r="E117" s="2" t="s">
        <v>326</v>
      </c>
      <c r="F117" s="13">
        <v>8</v>
      </c>
      <c r="G117" s="1"/>
      <c r="H117" s="1"/>
      <c r="I117" s="1"/>
      <c r="J117" s="14">
        <v>9.5999999999999992E-3</v>
      </c>
      <c r="K117" s="14">
        <f t="shared" si="1"/>
        <v>7.6799999999999993E-2</v>
      </c>
      <c r="L117" s="15"/>
      <c r="M117" s="15"/>
    </row>
    <row r="118" spans="1:13" ht="37" customHeight="1" x14ac:dyDescent="0.3">
      <c r="A118" s="46" t="s">
        <v>191</v>
      </c>
      <c r="B118" s="2" t="s">
        <v>327</v>
      </c>
      <c r="C118" s="2" t="s">
        <v>328</v>
      </c>
      <c r="D118" s="2" t="s">
        <v>194</v>
      </c>
      <c r="E118" s="2" t="s">
        <v>329</v>
      </c>
      <c r="F118" s="13">
        <v>4</v>
      </c>
      <c r="G118" s="1"/>
      <c r="H118" s="1"/>
      <c r="I118" s="1"/>
      <c r="J118" s="14">
        <v>1.61E-2</v>
      </c>
      <c r="K118" s="14">
        <f t="shared" si="1"/>
        <v>6.4399999999999999E-2</v>
      </c>
      <c r="L118" s="15"/>
      <c r="M118" s="15"/>
    </row>
    <row r="119" spans="1:13" ht="37" customHeight="1" x14ac:dyDescent="0.3">
      <c r="A119" s="46" t="s">
        <v>191</v>
      </c>
      <c r="B119" s="47" t="s">
        <v>330</v>
      </c>
      <c r="C119" s="2" t="s">
        <v>331</v>
      </c>
      <c r="D119" s="2" t="s">
        <v>332</v>
      </c>
      <c r="E119" s="2" t="s">
        <v>333</v>
      </c>
      <c r="F119" s="13">
        <v>4</v>
      </c>
      <c r="G119" s="1"/>
      <c r="H119" s="1"/>
      <c r="I119" s="1"/>
      <c r="J119" s="14">
        <v>1.55E-2</v>
      </c>
      <c r="K119" s="14">
        <f t="shared" si="1"/>
        <v>6.2E-2</v>
      </c>
      <c r="L119" s="15"/>
      <c r="M119" s="15"/>
    </row>
    <row r="120" spans="1:13" ht="37" customHeight="1" x14ac:dyDescent="0.3">
      <c r="A120" s="46" t="s">
        <v>191</v>
      </c>
      <c r="B120" s="47" t="s">
        <v>334</v>
      </c>
      <c r="C120" s="2" t="s">
        <v>335</v>
      </c>
      <c r="D120" s="2" t="s">
        <v>336</v>
      </c>
      <c r="E120" s="2" t="s">
        <v>337</v>
      </c>
      <c r="F120" s="13">
        <v>4</v>
      </c>
      <c r="G120" s="1"/>
      <c r="H120" s="1"/>
      <c r="I120" s="1"/>
      <c r="J120" s="14">
        <v>1.1599999999999999E-2</v>
      </c>
      <c r="K120" s="14">
        <f t="shared" si="1"/>
        <v>4.6399999999999997E-2</v>
      </c>
      <c r="L120" s="15"/>
      <c r="M120" s="15"/>
    </row>
    <row r="121" spans="1:13" ht="37" customHeight="1" x14ac:dyDescent="0.3">
      <c r="A121" s="1"/>
      <c r="B121" s="2" t="s">
        <v>338</v>
      </c>
      <c r="C121" s="2" t="s">
        <v>339</v>
      </c>
      <c r="D121" s="2" t="s">
        <v>336</v>
      </c>
      <c r="E121" s="2" t="s">
        <v>340</v>
      </c>
      <c r="F121" s="13">
        <v>1</v>
      </c>
      <c r="G121" s="1" t="s">
        <v>341</v>
      </c>
      <c r="H121" s="1" t="s">
        <v>342</v>
      </c>
      <c r="I121" s="1"/>
      <c r="J121" s="14">
        <v>2.92E-2</v>
      </c>
      <c r="K121" s="14">
        <f t="shared" si="1"/>
        <v>2.92E-2</v>
      </c>
      <c r="L121" s="15"/>
      <c r="M121" s="15"/>
    </row>
    <row r="122" spans="1:13" ht="37" customHeight="1" x14ac:dyDescent="0.3">
      <c r="A122" s="1"/>
      <c r="B122" s="2" t="s">
        <v>343</v>
      </c>
      <c r="C122" s="2">
        <v>0</v>
      </c>
      <c r="D122" s="2" t="s">
        <v>336</v>
      </c>
      <c r="E122" s="2" t="s">
        <v>344</v>
      </c>
      <c r="F122" s="13">
        <v>2</v>
      </c>
      <c r="G122" s="1"/>
      <c r="H122" s="1"/>
      <c r="I122" s="1"/>
      <c r="J122" s="14">
        <v>2.8E-3</v>
      </c>
      <c r="K122" s="14">
        <f t="shared" si="1"/>
        <v>5.5999999999999999E-3</v>
      </c>
      <c r="L122" s="15"/>
      <c r="M122" s="15"/>
    </row>
    <row r="123" spans="1:13" ht="37" customHeight="1" x14ac:dyDescent="0.3">
      <c r="A123" s="1"/>
      <c r="B123" s="2" t="s">
        <v>345</v>
      </c>
      <c r="C123" s="2" t="s">
        <v>346</v>
      </c>
      <c r="D123" s="2" t="s">
        <v>336</v>
      </c>
      <c r="E123" s="2" t="s">
        <v>347</v>
      </c>
      <c r="F123" s="13">
        <v>4</v>
      </c>
      <c r="G123" s="1"/>
      <c r="H123" s="1"/>
      <c r="I123" s="1"/>
      <c r="J123" s="14">
        <v>2.8E-3</v>
      </c>
      <c r="K123" s="14">
        <f t="shared" si="1"/>
        <v>1.12E-2</v>
      </c>
      <c r="L123" s="15"/>
      <c r="M123" s="15"/>
    </row>
    <row r="124" spans="1:13" ht="37" customHeight="1" x14ac:dyDescent="0.3">
      <c r="A124" s="1"/>
      <c r="B124" s="2" t="s">
        <v>348</v>
      </c>
      <c r="C124" s="2" t="s">
        <v>45</v>
      </c>
      <c r="D124" s="2" t="s">
        <v>336</v>
      </c>
      <c r="E124" s="2" t="s">
        <v>349</v>
      </c>
      <c r="F124" s="13">
        <v>3</v>
      </c>
      <c r="G124" s="1"/>
      <c r="H124" s="1"/>
      <c r="I124" s="1"/>
      <c r="J124" s="14">
        <v>2.8E-3</v>
      </c>
      <c r="K124" s="14">
        <f t="shared" si="1"/>
        <v>8.3999999999999995E-3</v>
      </c>
      <c r="L124" s="15"/>
      <c r="M124" s="15"/>
    </row>
    <row r="125" spans="1:13" ht="37" customHeight="1" x14ac:dyDescent="0.3">
      <c r="A125" s="1"/>
      <c r="B125" s="2" t="s">
        <v>350</v>
      </c>
      <c r="C125" s="2" t="s">
        <v>331</v>
      </c>
      <c r="D125" s="2" t="s">
        <v>332</v>
      </c>
      <c r="E125" s="2" t="s">
        <v>333</v>
      </c>
      <c r="F125" s="13">
        <v>4</v>
      </c>
      <c r="G125" s="1"/>
      <c r="H125" s="1"/>
      <c r="I125" s="1"/>
      <c r="J125" s="14">
        <v>1.55E-2</v>
      </c>
      <c r="K125" s="14">
        <f t="shared" si="1"/>
        <v>6.2E-2</v>
      </c>
      <c r="L125" s="15"/>
      <c r="M125" s="15"/>
    </row>
    <row r="126" spans="1:13" ht="37" customHeight="1" x14ac:dyDescent="0.3">
      <c r="A126" s="1">
        <v>111474999</v>
      </c>
      <c r="B126" s="2" t="s">
        <v>351</v>
      </c>
      <c r="C126" s="2" t="s">
        <v>352</v>
      </c>
      <c r="D126" s="2" t="s">
        <v>353</v>
      </c>
      <c r="E126" s="2" t="s">
        <v>354</v>
      </c>
      <c r="F126" s="13">
        <v>4</v>
      </c>
      <c r="G126" s="1"/>
      <c r="H126" s="1"/>
      <c r="I126" s="1"/>
      <c r="J126" s="14">
        <v>3.78E-2</v>
      </c>
      <c r="K126" s="14">
        <f t="shared" si="1"/>
        <v>0.1512</v>
      </c>
      <c r="L126" s="15"/>
      <c r="M126" s="15"/>
    </row>
    <row r="127" spans="1:13" ht="37" customHeight="1" x14ac:dyDescent="0.3">
      <c r="A127" s="1">
        <v>511079100</v>
      </c>
      <c r="B127" s="2" t="s">
        <v>355</v>
      </c>
      <c r="C127" s="2" t="s">
        <v>356</v>
      </c>
      <c r="D127" s="2" t="s">
        <v>357</v>
      </c>
      <c r="E127" s="2" t="s">
        <v>358</v>
      </c>
      <c r="F127" s="13">
        <v>1</v>
      </c>
      <c r="G127" s="1"/>
      <c r="H127" s="1"/>
      <c r="I127" s="1"/>
      <c r="J127" s="14">
        <v>1.26E-2</v>
      </c>
      <c r="K127" s="14">
        <f t="shared" si="1"/>
        <v>1.26E-2</v>
      </c>
      <c r="L127" s="15"/>
      <c r="M127" s="15"/>
    </row>
    <row r="128" spans="1:13" ht="37" customHeight="1" x14ac:dyDescent="0.3">
      <c r="A128" s="1"/>
      <c r="B128" s="2" t="s">
        <v>359</v>
      </c>
      <c r="C128" s="2" t="s">
        <v>356</v>
      </c>
      <c r="D128" s="2" t="s">
        <v>357</v>
      </c>
      <c r="E128" s="2" t="s">
        <v>360</v>
      </c>
      <c r="F128" s="13">
        <v>1</v>
      </c>
      <c r="G128" s="1" t="s">
        <v>361</v>
      </c>
      <c r="H128" s="1">
        <v>3000</v>
      </c>
      <c r="I128" s="1">
        <v>42</v>
      </c>
      <c r="J128" s="14">
        <v>2.86E-2</v>
      </c>
      <c r="K128" s="14">
        <f t="shared" si="1"/>
        <v>2.86E-2</v>
      </c>
      <c r="L128" s="15"/>
      <c r="M128" s="15"/>
    </row>
    <row r="129" spans="1:13" ht="37" customHeight="1" x14ac:dyDescent="0.3">
      <c r="A129" s="1"/>
      <c r="B129" s="2" t="s">
        <v>362</v>
      </c>
      <c r="C129" s="2" t="s">
        <v>80</v>
      </c>
      <c r="D129" s="2" t="s">
        <v>353</v>
      </c>
      <c r="E129" s="2" t="s">
        <v>363</v>
      </c>
      <c r="F129" s="13">
        <v>1</v>
      </c>
      <c r="G129" s="1"/>
      <c r="H129" s="1"/>
      <c r="I129" s="1"/>
      <c r="J129" s="14">
        <v>3.0000000000000001E-3</v>
      </c>
      <c r="K129" s="14">
        <f t="shared" si="1"/>
        <v>3.0000000000000001E-3</v>
      </c>
      <c r="L129" s="15"/>
      <c r="M129" s="15"/>
    </row>
    <row r="130" spans="1:13" ht="37" customHeight="1" x14ac:dyDescent="0.3">
      <c r="A130" s="1"/>
      <c r="B130" s="2" t="s">
        <v>364</v>
      </c>
      <c r="C130" s="2" t="s">
        <v>365</v>
      </c>
      <c r="D130" s="2" t="s">
        <v>353</v>
      </c>
      <c r="E130" s="2" t="s">
        <v>366</v>
      </c>
      <c r="F130" s="13">
        <v>6</v>
      </c>
      <c r="G130" s="1"/>
      <c r="H130" s="1"/>
      <c r="I130" s="1"/>
      <c r="J130" s="14">
        <v>3.0000000000000001E-3</v>
      </c>
      <c r="K130" s="14">
        <f t="shared" si="1"/>
        <v>1.7999999999999999E-2</v>
      </c>
      <c r="L130" s="15"/>
      <c r="M130" s="15"/>
    </row>
    <row r="131" spans="1:13" ht="37" customHeight="1" x14ac:dyDescent="0.3">
      <c r="A131" s="1"/>
      <c r="B131" s="2" t="s">
        <v>367</v>
      </c>
      <c r="C131" s="2" t="s">
        <v>368</v>
      </c>
      <c r="D131" s="2" t="s">
        <v>353</v>
      </c>
      <c r="E131" s="2" t="s">
        <v>369</v>
      </c>
      <c r="F131" s="13">
        <v>4</v>
      </c>
      <c r="G131" s="1"/>
      <c r="H131" s="1"/>
      <c r="I131" s="1"/>
      <c r="J131" s="14">
        <v>3.78E-2</v>
      </c>
      <c r="K131" s="14">
        <f t="shared" si="1"/>
        <v>0.1512</v>
      </c>
      <c r="L131" s="15"/>
      <c r="M131" s="15"/>
    </row>
    <row r="132" spans="1:13" ht="37" customHeight="1" x14ac:dyDescent="0.3">
      <c r="A132" s="1"/>
      <c r="B132" s="2" t="s">
        <v>370</v>
      </c>
      <c r="C132" s="2" t="s">
        <v>371</v>
      </c>
      <c r="D132" s="2" t="s">
        <v>372</v>
      </c>
      <c r="E132" s="2" t="s">
        <v>373</v>
      </c>
      <c r="F132" s="13">
        <v>36</v>
      </c>
      <c r="G132" s="1"/>
      <c r="H132" s="1"/>
      <c r="I132" s="1"/>
      <c r="J132" s="14">
        <v>2E-3</v>
      </c>
      <c r="K132" s="14">
        <f t="shared" ref="K132:K195" si="2">J132*F132</f>
        <v>7.1999999999999995E-2</v>
      </c>
      <c r="L132" s="15"/>
      <c r="M132" s="15"/>
    </row>
    <row r="133" spans="1:13" ht="37" customHeight="1" x14ac:dyDescent="0.3">
      <c r="A133" s="1"/>
      <c r="B133" s="2" t="s">
        <v>370</v>
      </c>
      <c r="C133" s="2" t="s">
        <v>371</v>
      </c>
      <c r="D133" s="2" t="s">
        <v>374</v>
      </c>
      <c r="E133" s="2" t="s">
        <v>375</v>
      </c>
      <c r="F133" s="13">
        <v>20</v>
      </c>
      <c r="G133" s="1"/>
      <c r="H133" s="1"/>
      <c r="I133" s="1"/>
      <c r="J133" s="14">
        <v>2E-3</v>
      </c>
      <c r="K133" s="14">
        <f t="shared" si="2"/>
        <v>0.04</v>
      </c>
      <c r="L133" s="15"/>
      <c r="M133" s="15"/>
    </row>
    <row r="134" spans="1:13" ht="37" customHeight="1" x14ac:dyDescent="0.3">
      <c r="A134" s="1"/>
      <c r="B134" s="2" t="s">
        <v>376</v>
      </c>
      <c r="C134" s="2" t="s">
        <v>377</v>
      </c>
      <c r="D134" s="2" t="s">
        <v>372</v>
      </c>
      <c r="E134" s="2" t="s">
        <v>378</v>
      </c>
      <c r="F134" s="13">
        <v>2</v>
      </c>
      <c r="G134" s="1"/>
      <c r="H134" s="1"/>
      <c r="I134" s="1"/>
      <c r="J134" s="14">
        <v>1.5E-3</v>
      </c>
      <c r="K134" s="14">
        <f t="shared" si="2"/>
        <v>3.0000000000000001E-3</v>
      </c>
      <c r="L134" s="15"/>
      <c r="M134" s="15"/>
    </row>
    <row r="135" spans="1:13" ht="37" customHeight="1" x14ac:dyDescent="0.3">
      <c r="A135" s="1"/>
      <c r="B135" s="2" t="s">
        <v>376</v>
      </c>
      <c r="C135" s="2" t="s">
        <v>377</v>
      </c>
      <c r="D135" s="2" t="s">
        <v>374</v>
      </c>
      <c r="E135" s="2" t="s">
        <v>379</v>
      </c>
      <c r="F135" s="13">
        <v>1</v>
      </c>
      <c r="G135" s="1"/>
      <c r="H135" s="1"/>
      <c r="I135" s="1"/>
      <c r="J135" s="14">
        <v>1.5E-3</v>
      </c>
      <c r="K135" s="14">
        <f t="shared" si="2"/>
        <v>1.5E-3</v>
      </c>
      <c r="L135" s="15"/>
      <c r="M135" s="15"/>
    </row>
    <row r="136" spans="1:13" ht="37" customHeight="1" x14ac:dyDescent="0.3">
      <c r="A136" s="1"/>
      <c r="B136" s="2" t="s">
        <v>380</v>
      </c>
      <c r="C136" s="2" t="s">
        <v>381</v>
      </c>
      <c r="D136" s="2" t="s">
        <v>374</v>
      </c>
      <c r="E136" s="2" t="s">
        <v>382</v>
      </c>
      <c r="F136" s="13">
        <v>2</v>
      </c>
      <c r="G136" s="1"/>
      <c r="H136" s="1"/>
      <c r="I136" s="1"/>
      <c r="J136" s="14">
        <v>1.5E-3</v>
      </c>
      <c r="K136" s="14">
        <f t="shared" si="2"/>
        <v>3.0000000000000001E-3</v>
      </c>
      <c r="L136" s="15"/>
      <c r="M136" s="15"/>
    </row>
    <row r="137" spans="1:13" ht="37" customHeight="1" x14ac:dyDescent="0.3">
      <c r="A137" s="1"/>
      <c r="B137" s="2" t="s">
        <v>383</v>
      </c>
      <c r="C137" s="2" t="s">
        <v>384</v>
      </c>
      <c r="D137" s="2" t="s">
        <v>374</v>
      </c>
      <c r="E137" s="2" t="s">
        <v>385</v>
      </c>
      <c r="F137" s="13">
        <v>4</v>
      </c>
      <c r="G137" s="1"/>
      <c r="H137" s="1"/>
      <c r="I137" s="1"/>
      <c r="J137" s="14">
        <v>1.5E-3</v>
      </c>
      <c r="K137" s="14">
        <f t="shared" si="2"/>
        <v>6.0000000000000001E-3</v>
      </c>
      <c r="L137" s="15"/>
      <c r="M137" s="15"/>
    </row>
    <row r="138" spans="1:13" ht="37" customHeight="1" x14ac:dyDescent="0.3">
      <c r="A138" s="1"/>
      <c r="B138" s="2" t="s">
        <v>386</v>
      </c>
      <c r="C138" s="2" t="s">
        <v>371</v>
      </c>
      <c r="D138" s="2" t="s">
        <v>374</v>
      </c>
      <c r="E138" s="2" t="s">
        <v>387</v>
      </c>
      <c r="F138" s="13">
        <v>37</v>
      </c>
      <c r="G138" s="1"/>
      <c r="H138" s="1"/>
      <c r="I138" s="1"/>
      <c r="J138" s="14">
        <v>1.5E-3</v>
      </c>
      <c r="K138" s="14">
        <f t="shared" si="2"/>
        <v>5.5500000000000001E-2</v>
      </c>
      <c r="L138" s="15"/>
      <c r="M138" s="15"/>
    </row>
    <row r="139" spans="1:13" ht="37" customHeight="1" x14ac:dyDescent="0.3">
      <c r="A139" s="1"/>
      <c r="B139" s="2" t="s">
        <v>386</v>
      </c>
      <c r="C139" s="2" t="s">
        <v>371</v>
      </c>
      <c r="D139" s="2" t="s">
        <v>372</v>
      </c>
      <c r="E139" s="2" t="s">
        <v>388</v>
      </c>
      <c r="F139" s="13">
        <v>5</v>
      </c>
      <c r="G139" s="1"/>
      <c r="H139" s="1"/>
      <c r="I139" s="1"/>
      <c r="J139" s="14">
        <v>1.5E-3</v>
      </c>
      <c r="K139" s="14">
        <f t="shared" si="2"/>
        <v>7.4999999999999997E-3</v>
      </c>
      <c r="L139" s="15"/>
      <c r="M139" s="15"/>
    </row>
    <row r="140" spans="1:13" ht="37" customHeight="1" x14ac:dyDescent="0.3">
      <c r="A140" s="1"/>
      <c r="B140" s="2" t="s">
        <v>389</v>
      </c>
      <c r="C140" s="2" t="s">
        <v>390</v>
      </c>
      <c r="D140" s="2" t="s">
        <v>372</v>
      </c>
      <c r="E140" s="2" t="s">
        <v>391</v>
      </c>
      <c r="F140" s="13">
        <v>6</v>
      </c>
      <c r="G140" s="1"/>
      <c r="H140" s="1"/>
      <c r="I140" s="1"/>
      <c r="J140" s="14">
        <v>1.5E-3</v>
      </c>
      <c r="K140" s="14">
        <f t="shared" si="2"/>
        <v>8.9999999999999993E-3</v>
      </c>
      <c r="L140" s="15"/>
      <c r="M140" s="15"/>
    </row>
    <row r="141" spans="1:13" ht="37" customHeight="1" x14ac:dyDescent="0.3">
      <c r="A141" s="1"/>
      <c r="B141" s="2" t="s">
        <v>392</v>
      </c>
      <c r="C141" s="2" t="s">
        <v>393</v>
      </c>
      <c r="D141" s="2" t="s">
        <v>394</v>
      </c>
      <c r="E141" s="2" t="s">
        <v>395</v>
      </c>
      <c r="F141" s="13">
        <v>1</v>
      </c>
      <c r="G141" s="1"/>
      <c r="H141" s="1"/>
      <c r="I141" s="1"/>
      <c r="J141" s="14">
        <v>1.5E-3</v>
      </c>
      <c r="K141" s="14">
        <f t="shared" si="2"/>
        <v>1.5E-3</v>
      </c>
      <c r="L141" s="15"/>
      <c r="M141" s="15"/>
    </row>
    <row r="142" spans="1:13" ht="37" customHeight="1" x14ac:dyDescent="0.3">
      <c r="A142" s="1"/>
      <c r="B142" s="2" t="s">
        <v>396</v>
      </c>
      <c r="C142" s="2" t="s">
        <v>397</v>
      </c>
      <c r="D142" s="2" t="s">
        <v>374</v>
      </c>
      <c r="E142" s="2" t="s">
        <v>398</v>
      </c>
      <c r="F142" s="13">
        <v>1</v>
      </c>
      <c r="G142" s="1"/>
      <c r="H142" s="1"/>
      <c r="I142" s="1"/>
      <c r="J142" s="14">
        <v>8.5000000000000006E-3</v>
      </c>
      <c r="K142" s="14">
        <f t="shared" si="2"/>
        <v>8.5000000000000006E-3</v>
      </c>
      <c r="L142" s="15"/>
      <c r="M142" s="15"/>
    </row>
    <row r="143" spans="1:13" ht="37" customHeight="1" x14ac:dyDescent="0.3">
      <c r="A143" s="1"/>
      <c r="B143" s="2" t="s">
        <v>399</v>
      </c>
      <c r="C143" s="2" t="s">
        <v>400</v>
      </c>
      <c r="D143" s="2" t="s">
        <v>372</v>
      </c>
      <c r="E143" s="2" t="s">
        <v>401</v>
      </c>
      <c r="F143" s="13">
        <v>4</v>
      </c>
      <c r="G143" s="1"/>
      <c r="H143" s="1"/>
      <c r="I143" s="1"/>
      <c r="J143" s="14">
        <v>8.5000000000000006E-3</v>
      </c>
      <c r="K143" s="14">
        <f t="shared" si="2"/>
        <v>3.4000000000000002E-2</v>
      </c>
      <c r="L143" s="15"/>
      <c r="M143" s="15"/>
    </row>
    <row r="144" spans="1:13" ht="37" customHeight="1" x14ac:dyDescent="0.3">
      <c r="A144" s="1"/>
      <c r="B144" s="2" t="s">
        <v>402</v>
      </c>
      <c r="C144" s="2" t="s">
        <v>403</v>
      </c>
      <c r="D144" s="2" t="s">
        <v>374</v>
      </c>
      <c r="E144" s="2" t="s">
        <v>404</v>
      </c>
      <c r="F144" s="13">
        <v>1</v>
      </c>
      <c r="G144" s="1"/>
      <c r="H144" s="1"/>
      <c r="I144" s="1"/>
      <c r="J144" s="14">
        <v>1.5E-3</v>
      </c>
      <c r="K144" s="14">
        <f t="shared" si="2"/>
        <v>1.5E-3</v>
      </c>
      <c r="L144" s="15"/>
      <c r="M144" s="15"/>
    </row>
    <row r="145" spans="1:13" ht="37" customHeight="1" x14ac:dyDescent="0.3">
      <c r="A145" s="1"/>
      <c r="B145" s="2" t="s">
        <v>405</v>
      </c>
      <c r="C145" s="2" t="s">
        <v>406</v>
      </c>
      <c r="D145" s="2" t="s">
        <v>374</v>
      </c>
      <c r="E145" s="2" t="s">
        <v>407</v>
      </c>
      <c r="F145" s="13">
        <v>1</v>
      </c>
      <c r="G145" s="1"/>
      <c r="H145" s="1"/>
      <c r="I145" s="1"/>
      <c r="J145" s="14">
        <v>1.5E-3</v>
      </c>
      <c r="K145" s="14">
        <f t="shared" si="2"/>
        <v>1.5E-3</v>
      </c>
      <c r="L145" s="15"/>
      <c r="M145" s="15"/>
    </row>
    <row r="146" spans="1:13" ht="37" customHeight="1" x14ac:dyDescent="0.3">
      <c r="A146" s="1"/>
      <c r="B146" s="2" t="s">
        <v>408</v>
      </c>
      <c r="C146" s="2" t="s">
        <v>381</v>
      </c>
      <c r="D146" s="2" t="s">
        <v>374</v>
      </c>
      <c r="E146" s="2" t="s">
        <v>409</v>
      </c>
      <c r="F146" s="13">
        <v>2</v>
      </c>
      <c r="G146" s="1"/>
      <c r="H146" s="1"/>
      <c r="I146" s="1"/>
      <c r="J146" s="14">
        <v>1.5E-3</v>
      </c>
      <c r="K146" s="14">
        <f t="shared" si="2"/>
        <v>3.0000000000000001E-3</v>
      </c>
      <c r="L146" s="15"/>
      <c r="M146" s="15"/>
    </row>
    <row r="147" spans="1:13" ht="37" customHeight="1" x14ac:dyDescent="0.3">
      <c r="A147" s="1"/>
      <c r="B147" s="2" t="s">
        <v>410</v>
      </c>
      <c r="C147" s="2" t="s">
        <v>411</v>
      </c>
      <c r="D147" s="2" t="s">
        <v>374</v>
      </c>
      <c r="E147" s="2" t="s">
        <v>412</v>
      </c>
      <c r="F147" s="13">
        <v>2</v>
      </c>
      <c r="G147" s="1"/>
      <c r="H147" s="1"/>
      <c r="I147" s="1"/>
      <c r="J147" s="14">
        <v>1.5E-3</v>
      </c>
      <c r="K147" s="14">
        <f t="shared" si="2"/>
        <v>3.0000000000000001E-3</v>
      </c>
      <c r="L147" s="15"/>
      <c r="M147" s="15"/>
    </row>
    <row r="148" spans="1:13" ht="37" customHeight="1" x14ac:dyDescent="0.3">
      <c r="A148" s="1"/>
      <c r="B148" s="2" t="s">
        <v>413</v>
      </c>
      <c r="C148" s="2" t="s">
        <v>384</v>
      </c>
      <c r="D148" s="2" t="s">
        <v>374</v>
      </c>
      <c r="E148" s="2" t="s">
        <v>414</v>
      </c>
      <c r="F148" s="13">
        <v>10</v>
      </c>
      <c r="G148" s="1"/>
      <c r="H148" s="1"/>
      <c r="I148" s="1"/>
      <c r="J148" s="14">
        <v>1.5E-3</v>
      </c>
      <c r="K148" s="14">
        <f t="shared" si="2"/>
        <v>1.4999999999999999E-2</v>
      </c>
      <c r="L148" s="15"/>
      <c r="M148" s="15"/>
    </row>
    <row r="149" spans="1:13" ht="37" customHeight="1" x14ac:dyDescent="0.3">
      <c r="A149" s="1"/>
      <c r="B149" s="2" t="s">
        <v>413</v>
      </c>
      <c r="C149" s="2" t="s">
        <v>384</v>
      </c>
      <c r="D149" s="2" t="s">
        <v>372</v>
      </c>
      <c r="E149" s="2" t="s">
        <v>415</v>
      </c>
      <c r="F149" s="13">
        <v>4</v>
      </c>
      <c r="G149" s="1"/>
      <c r="H149" s="1"/>
      <c r="I149" s="1"/>
      <c r="J149" s="14">
        <v>1.5E-3</v>
      </c>
      <c r="K149" s="14">
        <f t="shared" si="2"/>
        <v>6.0000000000000001E-3</v>
      </c>
      <c r="L149" s="15"/>
      <c r="M149" s="15"/>
    </row>
    <row r="150" spans="1:13" ht="37" customHeight="1" x14ac:dyDescent="0.3">
      <c r="A150" s="1"/>
      <c r="B150" s="2" t="s">
        <v>416</v>
      </c>
      <c r="C150" s="2" t="s">
        <v>371</v>
      </c>
      <c r="D150" s="2" t="s">
        <v>372</v>
      </c>
      <c r="E150" s="2" t="s">
        <v>417</v>
      </c>
      <c r="F150" s="13">
        <v>26</v>
      </c>
      <c r="G150" s="1"/>
      <c r="H150" s="1"/>
      <c r="I150" s="1"/>
      <c r="J150" s="14">
        <v>1.5E-3</v>
      </c>
      <c r="K150" s="14">
        <f t="shared" si="2"/>
        <v>3.9E-2</v>
      </c>
      <c r="L150" s="15"/>
      <c r="M150" s="15"/>
    </row>
    <row r="151" spans="1:13" ht="37" customHeight="1" x14ac:dyDescent="0.3">
      <c r="A151" s="1"/>
      <c r="B151" s="2" t="s">
        <v>418</v>
      </c>
      <c r="C151" s="2" t="s">
        <v>371</v>
      </c>
      <c r="D151" s="2" t="s">
        <v>374</v>
      </c>
      <c r="E151" s="2" t="s">
        <v>419</v>
      </c>
      <c r="F151" s="13">
        <v>3</v>
      </c>
      <c r="G151" s="1"/>
      <c r="H151" s="1"/>
      <c r="I151" s="1"/>
      <c r="J151" s="14">
        <v>1.5E-3</v>
      </c>
      <c r="K151" s="14">
        <f t="shared" si="2"/>
        <v>4.4999999999999997E-3</v>
      </c>
      <c r="L151" s="15"/>
      <c r="M151" s="15"/>
    </row>
    <row r="152" spans="1:13" ht="37" customHeight="1" x14ac:dyDescent="0.3">
      <c r="A152" s="1"/>
      <c r="B152" s="2" t="s">
        <v>420</v>
      </c>
      <c r="C152" s="2" t="s">
        <v>371</v>
      </c>
      <c r="D152" s="2" t="s">
        <v>374</v>
      </c>
      <c r="E152" s="2" t="s">
        <v>421</v>
      </c>
      <c r="F152" s="13">
        <v>6</v>
      </c>
      <c r="G152" s="1"/>
      <c r="H152" s="1"/>
      <c r="I152" s="1"/>
      <c r="J152" s="14">
        <v>2E-3</v>
      </c>
      <c r="K152" s="14">
        <f t="shared" si="2"/>
        <v>1.2E-2</v>
      </c>
      <c r="L152" s="15"/>
      <c r="M152" s="15"/>
    </row>
    <row r="153" spans="1:13" ht="37" customHeight="1" x14ac:dyDescent="0.3">
      <c r="A153" s="1"/>
      <c r="B153" s="2" t="s">
        <v>422</v>
      </c>
      <c r="C153" s="2" t="s">
        <v>423</v>
      </c>
      <c r="D153" s="2" t="s">
        <v>372</v>
      </c>
      <c r="E153" s="2" t="s">
        <v>424</v>
      </c>
      <c r="F153" s="13">
        <v>4</v>
      </c>
      <c r="G153" s="1"/>
      <c r="H153" s="1"/>
      <c r="I153" s="1"/>
      <c r="J153" s="14">
        <v>4.1999999999999997E-3</v>
      </c>
      <c r="K153" s="14">
        <f t="shared" si="2"/>
        <v>1.6799999999999999E-2</v>
      </c>
      <c r="L153" s="15"/>
      <c r="M153" s="15"/>
    </row>
    <row r="154" spans="1:13" ht="37" customHeight="1" x14ac:dyDescent="0.3">
      <c r="A154" s="1"/>
      <c r="B154" s="2" t="s">
        <v>425</v>
      </c>
      <c r="C154" s="2" t="s">
        <v>426</v>
      </c>
      <c r="D154" s="2" t="s">
        <v>374</v>
      </c>
      <c r="E154" s="2" t="s">
        <v>427</v>
      </c>
      <c r="F154" s="13">
        <v>9</v>
      </c>
      <c r="G154" s="1"/>
      <c r="H154" s="1"/>
      <c r="I154" s="1"/>
      <c r="J154" s="14">
        <v>1.5E-3</v>
      </c>
      <c r="K154" s="14">
        <f t="shared" si="2"/>
        <v>1.35E-2</v>
      </c>
      <c r="L154" s="15"/>
      <c r="M154" s="15"/>
    </row>
    <row r="155" spans="1:13" ht="37" customHeight="1" x14ac:dyDescent="0.3">
      <c r="A155" s="1"/>
      <c r="B155" s="2" t="s">
        <v>425</v>
      </c>
      <c r="C155" s="2" t="s">
        <v>428</v>
      </c>
      <c r="D155" s="2" t="s">
        <v>372</v>
      </c>
      <c r="E155" s="2" t="s">
        <v>429</v>
      </c>
      <c r="F155" s="13">
        <v>0</v>
      </c>
      <c r="G155" s="1"/>
      <c r="H155" s="1"/>
      <c r="I155" s="1"/>
      <c r="J155" s="14"/>
      <c r="K155" s="14">
        <f t="shared" si="2"/>
        <v>0</v>
      </c>
      <c r="L155" s="15"/>
      <c r="M155" s="15"/>
    </row>
    <row r="156" spans="1:13" ht="37" customHeight="1" x14ac:dyDescent="0.3">
      <c r="A156" s="1"/>
      <c r="B156" s="2" t="s">
        <v>430</v>
      </c>
      <c r="C156" s="2" t="s">
        <v>431</v>
      </c>
      <c r="D156" s="2" t="s">
        <v>374</v>
      </c>
      <c r="E156" s="2" t="s">
        <v>432</v>
      </c>
      <c r="F156" s="13">
        <v>2</v>
      </c>
      <c r="G156" s="1"/>
      <c r="H156" s="1"/>
      <c r="I156" s="1"/>
      <c r="J156" s="14">
        <v>5.1999999999999998E-3</v>
      </c>
      <c r="K156" s="14">
        <f t="shared" si="2"/>
        <v>1.04E-2</v>
      </c>
      <c r="L156" s="15"/>
      <c r="M156" s="15"/>
    </row>
    <row r="157" spans="1:13" ht="37" customHeight="1" x14ac:dyDescent="0.3">
      <c r="A157" s="1"/>
      <c r="B157" s="2" t="s">
        <v>433</v>
      </c>
      <c r="C157" s="2" t="s">
        <v>406</v>
      </c>
      <c r="D157" s="2" t="s">
        <v>374</v>
      </c>
      <c r="E157" s="2" t="s">
        <v>434</v>
      </c>
      <c r="F157" s="13">
        <v>4</v>
      </c>
      <c r="G157" s="1"/>
      <c r="H157" s="1"/>
      <c r="I157" s="1"/>
      <c r="J157" s="14">
        <v>1.5E-3</v>
      </c>
      <c r="K157" s="14">
        <f t="shared" si="2"/>
        <v>6.0000000000000001E-3</v>
      </c>
      <c r="L157" s="15"/>
      <c r="M157" s="15"/>
    </row>
    <row r="158" spans="1:13" ht="37" customHeight="1" x14ac:dyDescent="0.3">
      <c r="A158" s="1"/>
      <c r="B158" s="2" t="s">
        <v>435</v>
      </c>
      <c r="C158" s="2" t="s">
        <v>436</v>
      </c>
      <c r="D158" s="2" t="s">
        <v>374</v>
      </c>
      <c r="E158" s="2" t="s">
        <v>437</v>
      </c>
      <c r="F158" s="13">
        <v>1</v>
      </c>
      <c r="G158" s="1"/>
      <c r="H158" s="1"/>
      <c r="I158" s="1"/>
      <c r="J158" s="14">
        <v>1.2E-2</v>
      </c>
      <c r="K158" s="14">
        <f t="shared" si="2"/>
        <v>1.2E-2</v>
      </c>
      <c r="L158" s="15"/>
      <c r="M158" s="15"/>
    </row>
    <row r="159" spans="1:13" ht="37" customHeight="1" x14ac:dyDescent="0.3">
      <c r="A159" s="1"/>
      <c r="B159" s="2" t="s">
        <v>438</v>
      </c>
      <c r="C159" s="2" t="s">
        <v>439</v>
      </c>
      <c r="D159" s="2" t="s">
        <v>374</v>
      </c>
      <c r="E159" s="2" t="s">
        <v>440</v>
      </c>
      <c r="F159" s="13">
        <v>2</v>
      </c>
      <c r="G159" s="1"/>
      <c r="H159" s="1"/>
      <c r="I159" s="1"/>
      <c r="J159" s="14">
        <v>1.5E-3</v>
      </c>
      <c r="K159" s="14">
        <f t="shared" si="2"/>
        <v>3.0000000000000001E-3</v>
      </c>
      <c r="L159" s="15"/>
      <c r="M159" s="15"/>
    </row>
    <row r="160" spans="1:13" ht="37" customHeight="1" x14ac:dyDescent="0.3">
      <c r="A160" s="1">
        <v>213103332</v>
      </c>
      <c r="B160" s="2" t="s">
        <v>441</v>
      </c>
      <c r="C160" s="2" t="s">
        <v>442</v>
      </c>
      <c r="D160" s="2" t="s">
        <v>443</v>
      </c>
      <c r="E160" s="2" t="s">
        <v>444</v>
      </c>
      <c r="F160" s="13">
        <v>2</v>
      </c>
      <c r="G160" s="1"/>
      <c r="H160" s="1"/>
      <c r="I160" s="1"/>
      <c r="J160" s="14">
        <v>9.4999999999999998E-3</v>
      </c>
      <c r="K160" s="14">
        <f t="shared" si="2"/>
        <v>1.9E-2</v>
      </c>
      <c r="L160" s="15"/>
      <c r="M160" s="15"/>
    </row>
    <row r="161" spans="1:13" ht="37" customHeight="1" x14ac:dyDescent="0.3">
      <c r="A161" s="1">
        <v>213106153</v>
      </c>
      <c r="B161" s="2" t="s">
        <v>445</v>
      </c>
      <c r="C161" s="2" t="s">
        <v>446</v>
      </c>
      <c r="D161" s="2" t="s">
        <v>443</v>
      </c>
      <c r="E161" s="2" t="s">
        <v>447</v>
      </c>
      <c r="F161" s="13">
        <v>2</v>
      </c>
      <c r="G161" s="1" t="s">
        <v>341</v>
      </c>
      <c r="H161" s="1" t="s">
        <v>342</v>
      </c>
      <c r="I161" s="1">
        <v>85</v>
      </c>
      <c r="J161" s="14">
        <v>8.2699999999999996E-2</v>
      </c>
      <c r="K161" s="14">
        <f t="shared" si="2"/>
        <v>0.16539999999999999</v>
      </c>
      <c r="L161" s="15"/>
      <c r="M161" s="15"/>
    </row>
    <row r="162" spans="1:13" ht="37" customHeight="1" x14ac:dyDescent="0.3">
      <c r="A162" s="1" t="s">
        <v>448</v>
      </c>
      <c r="B162" s="2" t="s">
        <v>449</v>
      </c>
      <c r="C162" s="2" t="s">
        <v>450</v>
      </c>
      <c r="D162" s="2" t="s">
        <v>443</v>
      </c>
      <c r="E162" s="2" t="s">
        <v>451</v>
      </c>
      <c r="F162" s="13">
        <v>1</v>
      </c>
      <c r="G162" s="1"/>
      <c r="H162" s="1"/>
      <c r="I162" s="1"/>
      <c r="J162" s="14">
        <v>8.5000000000000006E-3</v>
      </c>
      <c r="K162" s="14">
        <f t="shared" si="2"/>
        <v>8.5000000000000006E-3</v>
      </c>
      <c r="L162" s="15"/>
      <c r="M162" s="15"/>
    </row>
    <row r="163" spans="1:13" ht="37" customHeight="1" x14ac:dyDescent="0.3">
      <c r="A163" s="1">
        <v>213115224</v>
      </c>
      <c r="B163" s="2" t="s">
        <v>452</v>
      </c>
      <c r="C163" s="2" t="s">
        <v>453</v>
      </c>
      <c r="D163" s="2" t="s">
        <v>443</v>
      </c>
      <c r="E163" s="2" t="s">
        <v>454</v>
      </c>
      <c r="F163" s="13">
        <v>1</v>
      </c>
      <c r="G163" s="1"/>
      <c r="H163" s="1"/>
      <c r="I163" s="1"/>
      <c r="J163" s="14">
        <v>9.7999999999999997E-3</v>
      </c>
      <c r="K163" s="14">
        <f t="shared" si="2"/>
        <v>9.7999999999999997E-3</v>
      </c>
      <c r="L163" s="15"/>
      <c r="M163" s="15"/>
    </row>
    <row r="164" spans="1:13" ht="37" customHeight="1" x14ac:dyDescent="0.3">
      <c r="A164" s="1" t="s">
        <v>455</v>
      </c>
      <c r="B164" s="2" t="s">
        <v>456</v>
      </c>
      <c r="C164" s="2" t="s">
        <v>457</v>
      </c>
      <c r="D164" s="2" t="s">
        <v>443</v>
      </c>
      <c r="E164" s="2" t="s">
        <v>458</v>
      </c>
      <c r="F164" s="13">
        <v>4</v>
      </c>
      <c r="G164" s="1"/>
      <c r="H164" s="1"/>
      <c r="I164" s="1"/>
      <c r="J164" s="14">
        <v>6.4999999999999997E-3</v>
      </c>
      <c r="K164" s="14">
        <f t="shared" si="2"/>
        <v>2.5999999999999999E-2</v>
      </c>
      <c r="L164" s="15"/>
      <c r="M164" s="15"/>
    </row>
    <row r="165" spans="1:13" ht="37" customHeight="1" x14ac:dyDescent="0.3">
      <c r="A165" s="1">
        <v>213148106</v>
      </c>
      <c r="B165" s="47" t="s">
        <v>459</v>
      </c>
      <c r="C165" s="2" t="s">
        <v>436</v>
      </c>
      <c r="D165" s="2" t="s">
        <v>460</v>
      </c>
      <c r="E165" s="2" t="s">
        <v>461</v>
      </c>
      <c r="F165" s="13">
        <v>1</v>
      </c>
      <c r="G165" s="1"/>
      <c r="H165" s="1"/>
      <c r="I165" s="1"/>
      <c r="J165" s="14">
        <v>1.4999999999999999E-2</v>
      </c>
      <c r="K165" s="14">
        <f t="shared" si="2"/>
        <v>1.4999999999999999E-2</v>
      </c>
      <c r="L165" s="15"/>
      <c r="M165" s="15"/>
    </row>
    <row r="166" spans="1:13" ht="37" customHeight="1" x14ac:dyDescent="0.3">
      <c r="A166" s="1">
        <v>213163475</v>
      </c>
      <c r="B166" s="2" t="s">
        <v>462</v>
      </c>
      <c r="C166" s="2" t="s">
        <v>463</v>
      </c>
      <c r="D166" s="2" t="s">
        <v>443</v>
      </c>
      <c r="E166" s="2" t="s">
        <v>464</v>
      </c>
      <c r="F166" s="13">
        <v>5</v>
      </c>
      <c r="G166" s="1"/>
      <c r="H166" s="1"/>
      <c r="I166" s="1"/>
      <c r="J166" s="14">
        <v>8.8000000000000005E-3</v>
      </c>
      <c r="K166" s="14">
        <f t="shared" si="2"/>
        <v>4.3999999999999997E-2</v>
      </c>
      <c r="L166" s="15"/>
      <c r="M166" s="15"/>
    </row>
    <row r="167" spans="1:13" ht="37" customHeight="1" x14ac:dyDescent="0.3">
      <c r="A167" s="1"/>
      <c r="B167" s="2" t="s">
        <v>465</v>
      </c>
      <c r="C167" s="2" t="s">
        <v>403</v>
      </c>
      <c r="D167" s="2" t="s">
        <v>460</v>
      </c>
      <c r="E167" s="2" t="s">
        <v>466</v>
      </c>
      <c r="F167" s="13">
        <v>2</v>
      </c>
      <c r="G167" s="1"/>
      <c r="H167" s="1"/>
      <c r="I167" s="1"/>
      <c r="J167" s="14">
        <v>6.4999999999999997E-3</v>
      </c>
      <c r="K167" s="14">
        <f t="shared" si="2"/>
        <v>1.2999999999999999E-2</v>
      </c>
      <c r="L167" s="15"/>
      <c r="M167" s="15"/>
    </row>
    <row r="168" spans="1:13" ht="37" customHeight="1" x14ac:dyDescent="0.3">
      <c r="A168" s="1"/>
      <c r="B168" s="2" t="s">
        <v>467</v>
      </c>
      <c r="C168" s="2" t="s">
        <v>442</v>
      </c>
      <c r="D168" s="2" t="s">
        <v>460</v>
      </c>
      <c r="E168" s="2" t="s">
        <v>468</v>
      </c>
      <c r="F168" s="13">
        <v>2</v>
      </c>
      <c r="G168" s="1"/>
      <c r="H168" s="1"/>
      <c r="I168" s="1"/>
      <c r="J168" s="14">
        <v>9.4999999999999998E-3</v>
      </c>
      <c r="K168" s="14">
        <f t="shared" si="2"/>
        <v>1.9E-2</v>
      </c>
      <c r="L168" s="15"/>
      <c r="M168" s="15"/>
    </row>
    <row r="169" spans="1:13" ht="37" customHeight="1" x14ac:dyDescent="0.3">
      <c r="A169" s="1"/>
      <c r="B169" s="2" t="s">
        <v>469</v>
      </c>
      <c r="C169" s="2" t="s">
        <v>377</v>
      </c>
      <c r="D169" s="2" t="s">
        <v>460</v>
      </c>
      <c r="E169" s="2" t="s">
        <v>470</v>
      </c>
      <c r="F169" s="13">
        <v>2</v>
      </c>
      <c r="G169" s="1"/>
      <c r="H169" s="1"/>
      <c r="I169" s="1"/>
      <c r="J169" s="14">
        <v>1.6799999999999999E-2</v>
      </c>
      <c r="K169" s="14">
        <f t="shared" si="2"/>
        <v>3.3599999999999998E-2</v>
      </c>
      <c r="L169" s="15"/>
      <c r="M169" s="15"/>
    </row>
    <row r="170" spans="1:13" ht="37" customHeight="1" x14ac:dyDescent="0.3">
      <c r="A170" s="1"/>
      <c r="B170" s="2" t="s">
        <v>471</v>
      </c>
      <c r="C170" s="2" t="s">
        <v>472</v>
      </c>
      <c r="D170" s="2" t="s">
        <v>460</v>
      </c>
      <c r="E170" s="2" t="s">
        <v>473</v>
      </c>
      <c r="F170" s="13">
        <v>2</v>
      </c>
      <c r="G170" s="1" t="s">
        <v>341</v>
      </c>
      <c r="H170" s="1" t="s">
        <v>342</v>
      </c>
      <c r="I170" s="1">
        <v>85</v>
      </c>
      <c r="J170" s="14">
        <v>8.2699999999999996E-2</v>
      </c>
      <c r="K170" s="14">
        <f t="shared" si="2"/>
        <v>0.16539999999999999</v>
      </c>
      <c r="L170" s="15"/>
      <c r="M170" s="15"/>
    </row>
    <row r="171" spans="1:13" ht="37" customHeight="1" x14ac:dyDescent="0.3">
      <c r="A171" s="1"/>
      <c r="B171" s="2" t="s">
        <v>474</v>
      </c>
      <c r="C171" s="2" t="s">
        <v>475</v>
      </c>
      <c r="D171" s="2" t="s">
        <v>460</v>
      </c>
      <c r="E171" s="2" t="s">
        <v>476</v>
      </c>
      <c r="F171" s="13">
        <v>4</v>
      </c>
      <c r="G171" s="1"/>
      <c r="H171" s="1"/>
      <c r="I171" s="1"/>
      <c r="J171" s="14">
        <v>2.5000000000000001E-3</v>
      </c>
      <c r="K171" s="14">
        <f t="shared" si="2"/>
        <v>0.01</v>
      </c>
      <c r="L171" s="15"/>
      <c r="M171" s="15"/>
    </row>
    <row r="172" spans="1:13" ht="37" customHeight="1" x14ac:dyDescent="0.3">
      <c r="A172" s="1"/>
      <c r="B172" s="2" t="s">
        <v>477</v>
      </c>
      <c r="C172" s="2" t="s">
        <v>384</v>
      </c>
      <c r="D172" s="2" t="s">
        <v>460</v>
      </c>
      <c r="E172" s="2" t="s">
        <v>478</v>
      </c>
      <c r="F172" s="13">
        <v>4</v>
      </c>
      <c r="G172" s="1"/>
      <c r="H172" s="1"/>
      <c r="I172" s="1"/>
      <c r="J172" s="14">
        <v>2.8E-3</v>
      </c>
      <c r="K172" s="14">
        <f t="shared" si="2"/>
        <v>1.12E-2</v>
      </c>
      <c r="L172" s="15"/>
      <c r="M172" s="15"/>
    </row>
    <row r="173" spans="1:13" ht="37" customHeight="1" x14ac:dyDescent="0.3">
      <c r="A173" s="1"/>
      <c r="B173" s="2" t="s">
        <v>479</v>
      </c>
      <c r="C173" s="2" t="s">
        <v>426</v>
      </c>
      <c r="D173" s="2" t="s">
        <v>460</v>
      </c>
      <c r="E173" s="2" t="s">
        <v>480</v>
      </c>
      <c r="F173" s="13">
        <v>10</v>
      </c>
      <c r="G173" s="1"/>
      <c r="H173" s="1"/>
      <c r="I173" s="1"/>
      <c r="J173" s="14">
        <v>2.5000000000000001E-3</v>
      </c>
      <c r="K173" s="14">
        <f t="shared" si="2"/>
        <v>2.5000000000000001E-2</v>
      </c>
      <c r="L173" s="15"/>
      <c r="M173" s="15"/>
    </row>
    <row r="174" spans="1:13" ht="37" customHeight="1" x14ac:dyDescent="0.3">
      <c r="A174" s="1"/>
      <c r="B174" s="2" t="s">
        <v>479</v>
      </c>
      <c r="C174" s="2" t="s">
        <v>426</v>
      </c>
      <c r="D174" s="2" t="s">
        <v>443</v>
      </c>
      <c r="E174" s="2" t="s">
        <v>481</v>
      </c>
      <c r="F174" s="13">
        <v>4</v>
      </c>
      <c r="G174" s="1"/>
      <c r="H174" s="1"/>
      <c r="I174" s="1"/>
      <c r="J174" s="14">
        <v>2.5000000000000001E-3</v>
      </c>
      <c r="K174" s="14">
        <f t="shared" si="2"/>
        <v>0.01</v>
      </c>
      <c r="L174" s="15"/>
      <c r="M174" s="15"/>
    </row>
    <row r="175" spans="1:13" ht="37" customHeight="1" x14ac:dyDescent="0.3">
      <c r="A175" s="1"/>
      <c r="B175" s="2" t="s">
        <v>482</v>
      </c>
      <c r="C175" s="2" t="s">
        <v>483</v>
      </c>
      <c r="D175" s="2" t="s">
        <v>443</v>
      </c>
      <c r="E175" s="2" t="s">
        <v>484</v>
      </c>
      <c r="F175" s="13">
        <v>4</v>
      </c>
      <c r="G175" s="1"/>
      <c r="H175" s="1"/>
      <c r="I175" s="1"/>
      <c r="J175" s="14">
        <v>2.8E-3</v>
      </c>
      <c r="K175" s="14">
        <f t="shared" si="2"/>
        <v>1.12E-2</v>
      </c>
      <c r="L175" s="15"/>
      <c r="M175" s="15"/>
    </row>
    <row r="176" spans="1:13" ht="37" customHeight="1" x14ac:dyDescent="0.3">
      <c r="A176" s="1"/>
      <c r="B176" s="2" t="s">
        <v>485</v>
      </c>
      <c r="C176" s="2" t="s">
        <v>431</v>
      </c>
      <c r="D176" s="2" t="s">
        <v>443</v>
      </c>
      <c r="E176" s="2" t="s">
        <v>486</v>
      </c>
      <c r="F176" s="13">
        <v>4</v>
      </c>
      <c r="G176" s="1"/>
      <c r="H176" s="1"/>
      <c r="I176" s="1"/>
      <c r="J176" s="14">
        <v>2.8E-3</v>
      </c>
      <c r="K176" s="14">
        <f t="shared" si="2"/>
        <v>1.12E-2</v>
      </c>
      <c r="L176" s="15"/>
      <c r="M176" s="15"/>
    </row>
    <row r="177" spans="1:13" ht="37" customHeight="1" x14ac:dyDescent="0.3">
      <c r="A177" s="1"/>
      <c r="B177" s="2" t="s">
        <v>487</v>
      </c>
      <c r="C177" s="2" t="s">
        <v>397</v>
      </c>
      <c r="D177" s="2" t="s">
        <v>443</v>
      </c>
      <c r="E177" s="2" t="s">
        <v>488</v>
      </c>
      <c r="F177" s="13">
        <v>4</v>
      </c>
      <c r="G177" s="1"/>
      <c r="H177" s="1"/>
      <c r="I177" s="1"/>
      <c r="J177" s="14">
        <v>8.8999999999999999E-3</v>
      </c>
      <c r="K177" s="14">
        <f t="shared" si="2"/>
        <v>3.56E-2</v>
      </c>
      <c r="L177" s="15"/>
      <c r="M177" s="15"/>
    </row>
    <row r="178" spans="1:13" ht="37" customHeight="1" x14ac:dyDescent="0.3">
      <c r="A178" s="1"/>
      <c r="B178" s="2" t="s">
        <v>489</v>
      </c>
      <c r="C178" s="2" t="s">
        <v>450</v>
      </c>
      <c r="D178" s="2" t="s">
        <v>443</v>
      </c>
      <c r="E178" s="2" t="s">
        <v>490</v>
      </c>
      <c r="F178" s="13">
        <v>6</v>
      </c>
      <c r="G178" s="1"/>
      <c r="H178" s="1"/>
      <c r="I178" s="1"/>
      <c r="J178" s="14">
        <v>8.5000000000000006E-3</v>
      </c>
      <c r="K178" s="14">
        <f t="shared" si="2"/>
        <v>5.0999999999999997E-2</v>
      </c>
      <c r="L178" s="15"/>
      <c r="M178" s="15"/>
    </row>
    <row r="179" spans="1:13" ht="37" customHeight="1" x14ac:dyDescent="0.3">
      <c r="A179" s="1"/>
      <c r="B179" s="2" t="s">
        <v>491</v>
      </c>
      <c r="C179" s="2" t="s">
        <v>436</v>
      </c>
      <c r="D179" s="2" t="s">
        <v>460</v>
      </c>
      <c r="E179" s="2" t="s">
        <v>492</v>
      </c>
      <c r="F179" s="13">
        <v>2</v>
      </c>
      <c r="G179" s="1"/>
      <c r="H179" s="1"/>
      <c r="I179" s="1"/>
      <c r="J179" s="14">
        <v>1.4800000000000001E-2</v>
      </c>
      <c r="K179" s="14">
        <f t="shared" si="2"/>
        <v>2.9600000000000001E-2</v>
      </c>
      <c r="L179" s="15"/>
      <c r="M179" s="15"/>
    </row>
    <row r="180" spans="1:13" ht="37" customHeight="1" x14ac:dyDescent="0.3">
      <c r="A180" s="1"/>
      <c r="B180" s="2" t="s">
        <v>493</v>
      </c>
      <c r="C180" s="2" t="s">
        <v>494</v>
      </c>
      <c r="D180" s="2" t="s">
        <v>460</v>
      </c>
      <c r="E180" s="2" t="s">
        <v>495</v>
      </c>
      <c r="F180" s="13">
        <v>1</v>
      </c>
      <c r="G180" s="1"/>
      <c r="H180" s="1"/>
      <c r="I180" s="1"/>
      <c r="J180" s="14">
        <v>2.5000000000000001E-3</v>
      </c>
      <c r="K180" s="14">
        <f t="shared" si="2"/>
        <v>2.5000000000000001E-3</v>
      </c>
      <c r="L180" s="15"/>
      <c r="M180" s="15"/>
    </row>
    <row r="181" spans="1:13" ht="37" customHeight="1" x14ac:dyDescent="0.3">
      <c r="A181" s="1"/>
      <c r="B181" s="2" t="s">
        <v>496</v>
      </c>
      <c r="C181" s="2" t="s">
        <v>397</v>
      </c>
      <c r="D181" s="2" t="s">
        <v>460</v>
      </c>
      <c r="E181" s="2" t="s">
        <v>497</v>
      </c>
      <c r="F181" s="13">
        <v>1</v>
      </c>
      <c r="G181" s="1"/>
      <c r="H181" s="1"/>
      <c r="I181" s="1"/>
      <c r="J181" s="14">
        <v>7.0000000000000001E-3</v>
      </c>
      <c r="K181" s="14">
        <f t="shared" si="2"/>
        <v>7.0000000000000001E-3</v>
      </c>
      <c r="L181" s="15"/>
      <c r="M181" s="15"/>
    </row>
    <row r="182" spans="1:13" ht="37" customHeight="1" x14ac:dyDescent="0.3">
      <c r="A182" s="1"/>
      <c r="B182" s="2" t="s">
        <v>498</v>
      </c>
      <c r="C182" s="2" t="s">
        <v>499</v>
      </c>
      <c r="D182" s="2" t="s">
        <v>443</v>
      </c>
      <c r="E182" s="2" t="s">
        <v>500</v>
      </c>
      <c r="F182" s="13">
        <v>9</v>
      </c>
      <c r="G182" s="1"/>
      <c r="H182" s="1"/>
      <c r="I182" s="1"/>
      <c r="J182" s="14">
        <v>2.8999999999999998E-3</v>
      </c>
      <c r="K182" s="14">
        <f t="shared" si="2"/>
        <v>2.6100000000000002E-2</v>
      </c>
      <c r="L182" s="15"/>
      <c r="M182" s="15"/>
    </row>
    <row r="183" spans="1:13" ht="37" customHeight="1" x14ac:dyDescent="0.3">
      <c r="A183" s="1"/>
      <c r="B183" s="2" t="s">
        <v>501</v>
      </c>
      <c r="C183" s="2" t="s">
        <v>502</v>
      </c>
      <c r="D183" s="2" t="s">
        <v>503</v>
      </c>
      <c r="E183" s="2" t="s">
        <v>504</v>
      </c>
      <c r="F183" s="13">
        <v>1</v>
      </c>
      <c r="G183" s="1" t="s">
        <v>505</v>
      </c>
      <c r="H183" s="1">
        <v>4000</v>
      </c>
      <c r="I183" s="1">
        <v>28</v>
      </c>
      <c r="J183" s="14">
        <v>1.2E-2</v>
      </c>
      <c r="K183" s="14">
        <f t="shared" si="2"/>
        <v>1.2E-2</v>
      </c>
      <c r="L183" s="15"/>
      <c r="M183" s="15"/>
    </row>
    <row r="184" spans="1:13" ht="37" customHeight="1" x14ac:dyDescent="0.3">
      <c r="A184" s="1"/>
      <c r="B184" s="2" t="s">
        <v>506</v>
      </c>
      <c r="C184" s="2" t="s">
        <v>436</v>
      </c>
      <c r="D184" s="2" t="s">
        <v>507</v>
      </c>
      <c r="E184" s="2" t="s">
        <v>508</v>
      </c>
      <c r="F184" s="13">
        <v>1</v>
      </c>
      <c r="G184" s="1"/>
      <c r="H184" s="1"/>
      <c r="I184" s="1"/>
      <c r="J184" s="14">
        <v>0.04</v>
      </c>
      <c r="K184" s="14">
        <f t="shared" si="2"/>
        <v>0.04</v>
      </c>
      <c r="L184" s="15"/>
      <c r="M184" s="15"/>
    </row>
    <row r="185" spans="1:13" ht="37" customHeight="1" x14ac:dyDescent="0.3">
      <c r="A185" s="1"/>
      <c r="B185" s="2" t="s">
        <v>509</v>
      </c>
      <c r="C185" s="2" t="s">
        <v>436</v>
      </c>
      <c r="D185" s="2" t="s">
        <v>507</v>
      </c>
      <c r="E185" s="2" t="s">
        <v>510</v>
      </c>
      <c r="F185" s="13">
        <v>3</v>
      </c>
      <c r="G185" s="1"/>
      <c r="H185" s="1"/>
      <c r="I185" s="1"/>
      <c r="J185" s="14">
        <v>3.9899999999999998E-2</v>
      </c>
      <c r="K185" s="14">
        <f t="shared" si="2"/>
        <v>0.1197</v>
      </c>
      <c r="L185" s="15"/>
      <c r="M185" s="15"/>
    </row>
    <row r="186" spans="1:13" ht="37" customHeight="1" x14ac:dyDescent="0.3">
      <c r="A186" s="1"/>
      <c r="B186" s="2" t="s">
        <v>511</v>
      </c>
      <c r="C186" s="2" t="s">
        <v>371</v>
      </c>
      <c r="D186" s="2" t="s">
        <v>512</v>
      </c>
      <c r="E186" s="2" t="s">
        <v>513</v>
      </c>
      <c r="F186" s="13">
        <v>2</v>
      </c>
      <c r="G186" s="1"/>
      <c r="H186" s="1"/>
      <c r="I186" s="1"/>
      <c r="J186" s="14">
        <v>7.4000000000000003E-3</v>
      </c>
      <c r="K186" s="14">
        <f t="shared" si="2"/>
        <v>1.4800000000000001E-2</v>
      </c>
      <c r="L186" s="15"/>
      <c r="M186" s="15"/>
    </row>
    <row r="187" spans="1:13" ht="37" customHeight="1" x14ac:dyDescent="0.3">
      <c r="A187" s="1"/>
      <c r="B187" s="2" t="s">
        <v>514</v>
      </c>
      <c r="C187" s="2" t="s">
        <v>515</v>
      </c>
      <c r="D187" s="2" t="s">
        <v>516</v>
      </c>
      <c r="E187" s="2" t="s">
        <v>517</v>
      </c>
      <c r="F187" s="13">
        <v>15</v>
      </c>
      <c r="G187" s="1"/>
      <c r="H187" s="1"/>
      <c r="I187" s="1"/>
      <c r="J187" s="14">
        <v>3.85E-2</v>
      </c>
      <c r="K187" s="14">
        <f t="shared" si="2"/>
        <v>0.57750000000000001</v>
      </c>
      <c r="L187" s="15"/>
      <c r="M187" s="15"/>
    </row>
    <row r="188" spans="1:13" ht="37" customHeight="1" x14ac:dyDescent="0.3">
      <c r="A188" s="1"/>
      <c r="B188" s="2" t="s">
        <v>514</v>
      </c>
      <c r="C188" s="2" t="s">
        <v>515</v>
      </c>
      <c r="D188" s="2" t="s">
        <v>518</v>
      </c>
      <c r="E188" s="2" t="s">
        <v>519</v>
      </c>
      <c r="F188" s="13">
        <v>2</v>
      </c>
      <c r="G188" s="1"/>
      <c r="H188" s="1"/>
      <c r="I188" s="1"/>
      <c r="J188" s="14">
        <v>3.85E-2</v>
      </c>
      <c r="K188" s="14">
        <f t="shared" si="2"/>
        <v>7.6999999999999999E-2</v>
      </c>
      <c r="L188" s="15"/>
      <c r="M188" s="15"/>
    </row>
    <row r="189" spans="1:13" ht="37" customHeight="1" x14ac:dyDescent="0.3">
      <c r="A189" s="1"/>
      <c r="B189" s="2" t="s">
        <v>520</v>
      </c>
      <c r="C189" s="2" t="s">
        <v>450</v>
      </c>
      <c r="D189" s="2" t="s">
        <v>518</v>
      </c>
      <c r="E189" s="2" t="s">
        <v>521</v>
      </c>
      <c r="F189" s="13">
        <v>2</v>
      </c>
      <c r="G189" s="1"/>
      <c r="H189" s="1"/>
      <c r="I189" s="1"/>
      <c r="J189" s="14">
        <v>1.7999999999999999E-2</v>
      </c>
      <c r="K189" s="14">
        <f t="shared" si="2"/>
        <v>3.5999999999999997E-2</v>
      </c>
      <c r="L189" s="15"/>
      <c r="M189" s="15"/>
    </row>
    <row r="190" spans="1:13" ht="37" customHeight="1" x14ac:dyDescent="0.3">
      <c r="A190" s="1">
        <v>310203425</v>
      </c>
      <c r="B190" s="2" t="s">
        <v>522</v>
      </c>
      <c r="C190" s="2" t="s">
        <v>523</v>
      </c>
      <c r="D190" s="2" t="s">
        <v>524</v>
      </c>
      <c r="E190" s="2" t="s">
        <v>525</v>
      </c>
      <c r="F190" s="13">
        <v>1</v>
      </c>
      <c r="G190" s="1" t="s">
        <v>526</v>
      </c>
      <c r="H190" s="1">
        <v>5000</v>
      </c>
      <c r="I190" s="1">
        <v>120</v>
      </c>
      <c r="J190" s="14">
        <v>0.4</v>
      </c>
      <c r="K190" s="14">
        <f t="shared" si="2"/>
        <v>0.4</v>
      </c>
      <c r="L190" s="15"/>
      <c r="M190" s="15"/>
    </row>
    <row r="191" spans="1:13" ht="37" customHeight="1" x14ac:dyDescent="0.3">
      <c r="A191" s="1" t="s">
        <v>527</v>
      </c>
      <c r="B191" s="2" t="s">
        <v>528</v>
      </c>
      <c r="C191" s="2" t="s">
        <v>529</v>
      </c>
      <c r="D191" s="2" t="s">
        <v>530</v>
      </c>
      <c r="E191" s="2" t="s">
        <v>531</v>
      </c>
      <c r="F191" s="13">
        <v>4</v>
      </c>
      <c r="G191" s="1" t="s">
        <v>532</v>
      </c>
      <c r="H191" s="1">
        <v>3000</v>
      </c>
      <c r="I191" s="1">
        <v>56</v>
      </c>
      <c r="J191" s="14">
        <v>0.20799999999999999</v>
      </c>
      <c r="K191" s="14">
        <f t="shared" si="2"/>
        <v>0.83199999999999996</v>
      </c>
      <c r="L191" s="70">
        <v>0.41599999999999998</v>
      </c>
      <c r="M191" s="15"/>
    </row>
    <row r="192" spans="1:13" ht="37" customHeight="1" x14ac:dyDescent="0.3">
      <c r="A192" s="1">
        <v>722597804</v>
      </c>
      <c r="B192" s="2" t="s">
        <v>533</v>
      </c>
      <c r="C192" s="2" t="s">
        <v>534</v>
      </c>
      <c r="D192" s="2" t="s">
        <v>535</v>
      </c>
      <c r="E192" s="2" t="s">
        <v>536</v>
      </c>
      <c r="F192" s="13">
        <v>3</v>
      </c>
      <c r="G192" s="1" t="s">
        <v>537</v>
      </c>
      <c r="H192" s="1">
        <v>1000</v>
      </c>
      <c r="I192" s="1">
        <v>42</v>
      </c>
      <c r="J192" s="14">
        <v>0.17860000000000001</v>
      </c>
      <c r="K192" s="14">
        <f t="shared" si="2"/>
        <v>0.53580000000000005</v>
      </c>
      <c r="L192" s="70">
        <v>0.43730000000000002</v>
      </c>
      <c r="M192" s="15" t="s">
        <v>538</v>
      </c>
    </row>
    <row r="193" spans="1:13" ht="37" customHeight="1" x14ac:dyDescent="0.3">
      <c r="A193" s="1" t="s">
        <v>539</v>
      </c>
      <c r="B193" s="2" t="s">
        <v>540</v>
      </c>
      <c r="C193" s="2" t="s">
        <v>541</v>
      </c>
      <c r="D193" s="2" t="s">
        <v>542</v>
      </c>
      <c r="E193" s="2" t="s">
        <v>543</v>
      </c>
      <c r="F193" s="13">
        <v>3</v>
      </c>
      <c r="G193" s="1"/>
      <c r="H193" s="1"/>
      <c r="I193" s="1"/>
      <c r="J193" s="14">
        <v>1.2500000000000001E-2</v>
      </c>
      <c r="K193" s="14">
        <f t="shared" si="2"/>
        <v>3.7499999999999999E-2</v>
      </c>
      <c r="L193" s="15"/>
      <c r="M193" s="15"/>
    </row>
    <row r="194" spans="1:13" ht="37" customHeight="1" x14ac:dyDescent="0.3">
      <c r="A194" s="1">
        <v>211260227</v>
      </c>
      <c r="B194" s="2" t="s">
        <v>544</v>
      </c>
      <c r="C194" s="2" t="s">
        <v>545</v>
      </c>
      <c r="D194" s="2" t="s">
        <v>546</v>
      </c>
      <c r="E194" s="2" t="s">
        <v>547</v>
      </c>
      <c r="F194" s="13">
        <v>3</v>
      </c>
      <c r="G194" s="1" t="s">
        <v>548</v>
      </c>
      <c r="H194" s="1">
        <v>1000</v>
      </c>
      <c r="I194" s="1">
        <v>21</v>
      </c>
      <c r="J194" s="14">
        <v>2.4299999999999999E-2</v>
      </c>
      <c r="K194" s="14">
        <f t="shared" si="2"/>
        <v>7.2900000000000006E-2</v>
      </c>
      <c r="L194" s="15"/>
      <c r="M194" s="15"/>
    </row>
    <row r="195" spans="1:13" ht="37" customHeight="1" x14ac:dyDescent="0.3">
      <c r="A195" s="1">
        <v>212207476</v>
      </c>
      <c r="B195" s="2" t="s">
        <v>549</v>
      </c>
      <c r="C195" s="2" t="s">
        <v>550</v>
      </c>
      <c r="D195" s="2" t="s">
        <v>551</v>
      </c>
      <c r="E195" s="2" t="s">
        <v>552</v>
      </c>
      <c r="F195" s="13">
        <v>2</v>
      </c>
      <c r="G195" s="1"/>
      <c r="H195" s="1"/>
      <c r="I195" s="1"/>
      <c r="J195" s="14">
        <v>0.02</v>
      </c>
      <c r="K195" s="14">
        <f t="shared" si="2"/>
        <v>0.04</v>
      </c>
      <c r="L195" s="15"/>
      <c r="M195" s="15"/>
    </row>
    <row r="196" spans="1:13" ht="37" customHeight="1" x14ac:dyDescent="0.3">
      <c r="A196" s="1">
        <v>310204304</v>
      </c>
      <c r="B196" s="2" t="s">
        <v>553</v>
      </c>
      <c r="C196" s="2" t="s">
        <v>554</v>
      </c>
      <c r="D196" s="2" t="s">
        <v>555</v>
      </c>
      <c r="E196" s="2" t="s">
        <v>556</v>
      </c>
      <c r="F196" s="13">
        <v>1</v>
      </c>
      <c r="G196" s="1" t="s">
        <v>557</v>
      </c>
      <c r="H196" s="1">
        <v>4000</v>
      </c>
      <c r="I196" s="1">
        <v>130</v>
      </c>
      <c r="J196" s="14">
        <v>2.96</v>
      </c>
      <c r="K196" s="14">
        <f t="shared" ref="K196:K259" si="3">J196*F196</f>
        <v>2.96</v>
      </c>
      <c r="L196" s="70">
        <v>2.96</v>
      </c>
      <c r="M196" s="15"/>
    </row>
    <row r="197" spans="1:13" ht="37" customHeight="1" x14ac:dyDescent="0.3">
      <c r="A197" s="1">
        <v>310215302</v>
      </c>
      <c r="B197" s="2" t="s">
        <v>558</v>
      </c>
      <c r="C197" s="2" t="s">
        <v>559</v>
      </c>
      <c r="D197" s="2" t="s">
        <v>555</v>
      </c>
      <c r="E197" s="2" t="s">
        <v>560</v>
      </c>
      <c r="F197" s="13">
        <v>1</v>
      </c>
      <c r="G197" s="1" t="s">
        <v>557</v>
      </c>
      <c r="H197" s="1">
        <v>4000</v>
      </c>
      <c r="I197" s="1">
        <v>130</v>
      </c>
      <c r="J197" s="14">
        <v>2.44</v>
      </c>
      <c r="K197" s="14">
        <f t="shared" si="3"/>
        <v>2.44</v>
      </c>
      <c r="L197" s="15"/>
      <c r="M197" s="56" t="s">
        <v>561</v>
      </c>
    </row>
    <row r="198" spans="1:13" ht="37" customHeight="1" x14ac:dyDescent="0.3">
      <c r="A198" s="1" t="s">
        <v>562</v>
      </c>
      <c r="B198" s="2" t="s">
        <v>563</v>
      </c>
      <c r="C198" s="2" t="s">
        <v>564</v>
      </c>
      <c r="D198" s="2" t="s">
        <v>565</v>
      </c>
      <c r="E198" s="2" t="s">
        <v>566</v>
      </c>
      <c r="F198" s="13">
        <v>1</v>
      </c>
      <c r="G198" s="1" t="s">
        <v>567</v>
      </c>
      <c r="H198" s="1">
        <v>3000</v>
      </c>
      <c r="I198" s="1">
        <v>21</v>
      </c>
      <c r="J198" s="14">
        <v>4.2999999999999997E-2</v>
      </c>
      <c r="K198" s="14">
        <f t="shared" si="3"/>
        <v>4.2999999999999997E-2</v>
      </c>
      <c r="L198" s="15"/>
      <c r="M198" s="15"/>
    </row>
    <row r="199" spans="1:13" ht="37" customHeight="1" x14ac:dyDescent="0.3">
      <c r="A199" s="1">
        <v>311003420</v>
      </c>
      <c r="B199" s="2" t="s">
        <v>568</v>
      </c>
      <c r="C199" s="2" t="s">
        <v>569</v>
      </c>
      <c r="D199" s="2" t="s">
        <v>570</v>
      </c>
      <c r="E199" s="2" t="s">
        <v>571</v>
      </c>
      <c r="F199" s="13">
        <v>2</v>
      </c>
      <c r="G199" s="1" t="s">
        <v>572</v>
      </c>
      <c r="H199" s="1">
        <v>3000</v>
      </c>
      <c r="I199" s="1">
        <v>42</v>
      </c>
      <c r="J199" s="14">
        <v>4.4999999999999998E-2</v>
      </c>
      <c r="K199" s="14">
        <f t="shared" si="3"/>
        <v>0.09</v>
      </c>
      <c r="L199" s="15"/>
      <c r="M199" s="15"/>
    </row>
    <row r="200" spans="1:13" ht="37" customHeight="1" x14ac:dyDescent="0.3">
      <c r="A200" s="1">
        <v>311007331</v>
      </c>
      <c r="B200" s="2" t="s">
        <v>573</v>
      </c>
      <c r="C200" s="2" t="s">
        <v>574</v>
      </c>
      <c r="D200" s="2" t="s">
        <v>570</v>
      </c>
      <c r="E200" s="2" t="s">
        <v>575</v>
      </c>
      <c r="F200" s="13">
        <v>2</v>
      </c>
      <c r="G200" s="1" t="s">
        <v>576</v>
      </c>
      <c r="H200" s="1">
        <v>3000</v>
      </c>
      <c r="I200" s="1">
        <v>85</v>
      </c>
      <c r="J200" s="14">
        <v>0.12</v>
      </c>
      <c r="K200" s="14">
        <f t="shared" si="3"/>
        <v>0.24</v>
      </c>
      <c r="L200" s="70">
        <v>0.1794</v>
      </c>
      <c r="M200" s="15" t="s">
        <v>577</v>
      </c>
    </row>
    <row r="201" spans="1:13" ht="37" customHeight="1" x14ac:dyDescent="0.3">
      <c r="A201" s="1" t="s">
        <v>578</v>
      </c>
      <c r="B201" s="2" t="s">
        <v>579</v>
      </c>
      <c r="C201" s="2" t="s">
        <v>580</v>
      </c>
      <c r="D201" s="2" t="s">
        <v>581</v>
      </c>
      <c r="E201" s="2" t="s">
        <v>582</v>
      </c>
      <c r="F201" s="13">
        <v>1</v>
      </c>
      <c r="G201" s="1" t="s">
        <v>583</v>
      </c>
      <c r="H201" s="1">
        <v>2000</v>
      </c>
      <c r="I201" s="1">
        <v>70</v>
      </c>
      <c r="J201" s="14">
        <v>0.22</v>
      </c>
      <c r="K201" s="14">
        <f t="shared" si="3"/>
        <v>0.22</v>
      </c>
      <c r="L201" s="15"/>
      <c r="M201" s="15"/>
    </row>
    <row r="202" spans="1:13" ht="37" customHeight="1" x14ac:dyDescent="0.3">
      <c r="A202" s="1">
        <v>411000151</v>
      </c>
      <c r="B202" s="2" t="s">
        <v>584</v>
      </c>
      <c r="C202" s="2" t="s">
        <v>585</v>
      </c>
      <c r="D202" s="2" t="s">
        <v>586</v>
      </c>
      <c r="E202" s="2" t="s">
        <v>587</v>
      </c>
      <c r="F202" s="13">
        <v>8</v>
      </c>
      <c r="G202" s="1"/>
      <c r="H202" s="1"/>
      <c r="I202" s="1"/>
      <c r="J202" s="14">
        <v>9.7999999999999997E-3</v>
      </c>
      <c r="K202" s="14">
        <f t="shared" si="3"/>
        <v>7.8399999999999997E-2</v>
      </c>
      <c r="L202" s="15"/>
      <c r="M202" s="15"/>
    </row>
    <row r="203" spans="1:13" ht="37" customHeight="1" x14ac:dyDescent="0.3">
      <c r="A203" s="1">
        <v>411000331</v>
      </c>
      <c r="B203" s="2" t="s">
        <v>588</v>
      </c>
      <c r="C203" s="2" t="s">
        <v>589</v>
      </c>
      <c r="D203" s="2" t="s">
        <v>590</v>
      </c>
      <c r="E203" s="2" t="s">
        <v>591</v>
      </c>
      <c r="F203" s="13">
        <v>1</v>
      </c>
      <c r="G203" s="1" t="s">
        <v>592</v>
      </c>
      <c r="H203" s="1">
        <v>3000</v>
      </c>
      <c r="I203" s="1">
        <v>35</v>
      </c>
      <c r="J203" s="14">
        <v>1.6E-2</v>
      </c>
      <c r="K203" s="14">
        <f t="shared" si="3"/>
        <v>1.6E-2</v>
      </c>
      <c r="L203" s="15"/>
      <c r="M203" s="15"/>
    </row>
    <row r="204" spans="1:13" ht="37" customHeight="1" x14ac:dyDescent="0.3">
      <c r="A204" s="1" t="s">
        <v>593</v>
      </c>
      <c r="B204" s="2" t="s">
        <v>594</v>
      </c>
      <c r="C204" s="2" t="s">
        <v>595</v>
      </c>
      <c r="D204" s="2" t="s">
        <v>586</v>
      </c>
      <c r="E204" s="2" t="s">
        <v>596</v>
      </c>
      <c r="F204" s="13">
        <v>1</v>
      </c>
      <c r="G204" s="1"/>
      <c r="H204" s="1"/>
      <c r="I204" s="1"/>
      <c r="J204" s="14">
        <v>2.2200000000000001E-2</v>
      </c>
      <c r="K204" s="14">
        <f t="shared" si="3"/>
        <v>2.2200000000000001E-2</v>
      </c>
      <c r="L204" s="15"/>
      <c r="M204" s="15"/>
    </row>
    <row r="205" spans="1:13" ht="37" customHeight="1" x14ac:dyDescent="0.3">
      <c r="A205" s="1" t="s">
        <v>597</v>
      </c>
      <c r="B205" s="2" t="s">
        <v>598</v>
      </c>
      <c r="C205" s="2" t="s">
        <v>599</v>
      </c>
      <c r="D205" s="2" t="s">
        <v>600</v>
      </c>
      <c r="E205" s="2" t="s">
        <v>601</v>
      </c>
      <c r="F205" s="13">
        <v>3</v>
      </c>
      <c r="G205" s="1"/>
      <c r="H205" s="1"/>
      <c r="I205" s="1"/>
      <c r="J205" s="14">
        <v>6.1000000000000004E-3</v>
      </c>
      <c r="K205" s="14">
        <f t="shared" si="3"/>
        <v>1.83E-2</v>
      </c>
      <c r="L205" s="15"/>
      <c r="M205" s="15"/>
    </row>
    <row r="206" spans="1:13" ht="37" customHeight="1" x14ac:dyDescent="0.3">
      <c r="A206" s="1" t="s">
        <v>602</v>
      </c>
      <c r="B206" s="2" t="s">
        <v>603</v>
      </c>
      <c r="C206" s="2" t="s">
        <v>604</v>
      </c>
      <c r="D206" s="2" t="s">
        <v>605</v>
      </c>
      <c r="E206" s="2" t="s">
        <v>606</v>
      </c>
      <c r="F206" s="13">
        <v>1</v>
      </c>
      <c r="G206" s="1" t="s">
        <v>607</v>
      </c>
      <c r="H206" s="1">
        <v>3000</v>
      </c>
      <c r="I206" s="1">
        <v>28</v>
      </c>
      <c r="J206" s="14">
        <v>3.85E-2</v>
      </c>
      <c r="K206" s="14">
        <f t="shared" si="3"/>
        <v>3.85E-2</v>
      </c>
      <c r="L206" s="15"/>
      <c r="M206" s="15"/>
    </row>
    <row r="207" spans="1:13" ht="37" customHeight="1" x14ac:dyDescent="0.3">
      <c r="A207" s="1">
        <v>551091013</v>
      </c>
      <c r="B207" s="2" t="s">
        <v>608</v>
      </c>
      <c r="C207" s="2" t="s">
        <v>609</v>
      </c>
      <c r="D207" s="2" t="s">
        <v>610</v>
      </c>
      <c r="E207" s="2" t="s">
        <v>611</v>
      </c>
      <c r="F207" s="13">
        <v>1</v>
      </c>
      <c r="G207" s="1" t="s">
        <v>607</v>
      </c>
      <c r="H207" s="1">
        <v>3000</v>
      </c>
      <c r="I207" s="1">
        <v>28</v>
      </c>
      <c r="J207" s="14">
        <v>7.9000000000000001E-2</v>
      </c>
      <c r="K207" s="14">
        <f t="shared" si="3"/>
        <v>7.9000000000000001E-2</v>
      </c>
      <c r="L207" s="15"/>
      <c r="M207" s="15"/>
    </row>
    <row r="208" spans="1:13" ht="37" customHeight="1" x14ac:dyDescent="0.3">
      <c r="A208" s="1" t="s">
        <v>612</v>
      </c>
      <c r="B208" s="2" t="s">
        <v>613</v>
      </c>
      <c r="C208" s="2" t="s">
        <v>614</v>
      </c>
      <c r="D208" s="2" t="s">
        <v>605</v>
      </c>
      <c r="E208" s="2" t="s">
        <v>615</v>
      </c>
      <c r="F208" s="13">
        <v>1</v>
      </c>
      <c r="G208" s="1" t="s">
        <v>607</v>
      </c>
      <c r="H208" s="1">
        <v>3000</v>
      </c>
      <c r="I208" s="1">
        <v>28</v>
      </c>
      <c r="J208" s="14">
        <v>3.85E-2</v>
      </c>
      <c r="K208" s="14">
        <f t="shared" si="3"/>
        <v>3.85E-2</v>
      </c>
      <c r="L208" s="15"/>
      <c r="M208" s="15"/>
    </row>
    <row r="209" spans="1:13" ht="37" customHeight="1" x14ac:dyDescent="0.3">
      <c r="A209" s="1" t="s">
        <v>616</v>
      </c>
      <c r="B209" s="2" t="s">
        <v>617</v>
      </c>
      <c r="C209" s="2" t="s">
        <v>618</v>
      </c>
      <c r="D209" s="2" t="s">
        <v>605</v>
      </c>
      <c r="E209" s="2" t="s">
        <v>619</v>
      </c>
      <c r="F209" s="13">
        <v>1</v>
      </c>
      <c r="G209" s="1" t="s">
        <v>607</v>
      </c>
      <c r="H209" s="1">
        <v>3000</v>
      </c>
      <c r="I209" s="1">
        <v>28</v>
      </c>
      <c r="J209" s="14">
        <v>3.85E-2</v>
      </c>
      <c r="K209" s="14">
        <f t="shared" si="3"/>
        <v>3.85E-2</v>
      </c>
      <c r="L209" s="15"/>
      <c r="M209" s="15"/>
    </row>
    <row r="210" spans="1:13" ht="37" customHeight="1" x14ac:dyDescent="0.3">
      <c r="A210" s="1">
        <v>712965008</v>
      </c>
      <c r="B210" s="2" t="s">
        <v>620</v>
      </c>
      <c r="C210" s="2" t="s">
        <v>621</v>
      </c>
      <c r="D210" s="2"/>
      <c r="E210" s="2" t="s">
        <v>622</v>
      </c>
      <c r="F210" s="13">
        <v>1</v>
      </c>
      <c r="G210" s="1" t="s">
        <v>623</v>
      </c>
      <c r="H210" s="1">
        <v>1000</v>
      </c>
      <c r="I210" s="1">
        <v>21</v>
      </c>
      <c r="J210" s="14">
        <v>8.5000000000000006E-2</v>
      </c>
      <c r="K210" s="14">
        <f t="shared" si="3"/>
        <v>8.5000000000000006E-2</v>
      </c>
      <c r="L210" s="15"/>
      <c r="M210" s="15"/>
    </row>
    <row r="211" spans="1:13" ht="37" customHeight="1" x14ac:dyDescent="0.3">
      <c r="A211" s="1">
        <v>722857804</v>
      </c>
      <c r="B211" s="2" t="s">
        <v>624</v>
      </c>
      <c r="C211" s="2" t="s">
        <v>625</v>
      </c>
      <c r="D211" s="2" t="s">
        <v>625</v>
      </c>
      <c r="E211" s="2" t="s">
        <v>626</v>
      </c>
      <c r="F211" s="13">
        <v>1</v>
      </c>
      <c r="G211" s="1" t="s">
        <v>537</v>
      </c>
      <c r="H211" s="1">
        <v>1000</v>
      </c>
      <c r="I211" s="1">
        <v>42</v>
      </c>
      <c r="J211" s="14">
        <v>0.56000000000000005</v>
      </c>
      <c r="K211" s="14">
        <f t="shared" si="3"/>
        <v>0.56000000000000005</v>
      </c>
      <c r="L211" s="15"/>
      <c r="M211" s="15"/>
    </row>
    <row r="212" spans="1:13" ht="37" customHeight="1" x14ac:dyDescent="0.3">
      <c r="A212" s="1">
        <v>722959915</v>
      </c>
      <c r="B212" s="2" t="s">
        <v>627</v>
      </c>
      <c r="C212" s="2" t="s">
        <v>628</v>
      </c>
      <c r="D212" s="2" t="s">
        <v>628</v>
      </c>
      <c r="E212" s="2" t="s">
        <v>629</v>
      </c>
      <c r="F212" s="13">
        <v>2</v>
      </c>
      <c r="G212" s="1" t="s">
        <v>630</v>
      </c>
      <c r="H212" s="1">
        <v>1000</v>
      </c>
      <c r="I212" s="1">
        <v>56</v>
      </c>
      <c r="J212" s="14">
        <v>0.7</v>
      </c>
      <c r="K212" s="14">
        <f t="shared" si="3"/>
        <v>1.4</v>
      </c>
      <c r="L212" s="15"/>
      <c r="M212" s="15"/>
    </row>
    <row r="213" spans="1:13" ht="37" customHeight="1" x14ac:dyDescent="0.3">
      <c r="A213" s="1"/>
      <c r="B213" s="2" t="s">
        <v>631</v>
      </c>
      <c r="C213" s="2" t="s">
        <v>632</v>
      </c>
      <c r="D213" s="2" t="s">
        <v>633</v>
      </c>
      <c r="E213" s="2" t="s">
        <v>634</v>
      </c>
      <c r="F213" s="13">
        <v>1</v>
      </c>
      <c r="G213" s="1"/>
      <c r="H213" s="1"/>
      <c r="I213" s="1"/>
      <c r="J213" s="14">
        <v>6.7999999999999996E-3</v>
      </c>
      <c r="K213" s="14">
        <f t="shared" si="3"/>
        <v>6.7999999999999996E-3</v>
      </c>
      <c r="L213" s="15"/>
      <c r="M213" s="15"/>
    </row>
    <row r="214" spans="1:13" ht="37" customHeight="1" x14ac:dyDescent="0.3">
      <c r="A214" s="1"/>
      <c r="B214" s="2" t="s">
        <v>635</v>
      </c>
      <c r="C214" s="2" t="s">
        <v>636</v>
      </c>
      <c r="D214" s="2" t="s">
        <v>637</v>
      </c>
      <c r="E214" s="2" t="s">
        <v>638</v>
      </c>
      <c r="F214" s="13">
        <v>4</v>
      </c>
      <c r="G214" s="1"/>
      <c r="H214" s="1"/>
      <c r="I214" s="1"/>
      <c r="J214" s="14">
        <v>1.9E-2</v>
      </c>
      <c r="K214" s="14">
        <f t="shared" si="3"/>
        <v>7.5999999999999998E-2</v>
      </c>
      <c r="L214" s="15"/>
      <c r="M214" s="15"/>
    </row>
    <row r="215" spans="1:13" ht="37" customHeight="1" x14ac:dyDescent="0.3">
      <c r="A215" s="1"/>
      <c r="B215" s="2" t="s">
        <v>639</v>
      </c>
      <c r="C215" s="2" t="s">
        <v>640</v>
      </c>
      <c r="D215" s="2" t="s">
        <v>546</v>
      </c>
      <c r="E215" s="2" t="s">
        <v>641</v>
      </c>
      <c r="F215" s="13">
        <v>2</v>
      </c>
      <c r="G215" s="1"/>
      <c r="H215" s="1"/>
      <c r="I215" s="1"/>
      <c r="J215" s="14">
        <v>7.7999999999999996E-3</v>
      </c>
      <c r="K215" s="14">
        <f t="shared" si="3"/>
        <v>1.5599999999999999E-2</v>
      </c>
      <c r="L215" s="15"/>
      <c r="M215" s="15"/>
    </row>
    <row r="216" spans="1:13" ht="37" customHeight="1" x14ac:dyDescent="0.3">
      <c r="A216" s="1"/>
      <c r="B216" s="2" t="s">
        <v>642</v>
      </c>
      <c r="C216" s="2" t="s">
        <v>643</v>
      </c>
      <c r="D216" s="2" t="s">
        <v>644</v>
      </c>
      <c r="E216" s="2" t="s">
        <v>645</v>
      </c>
      <c r="F216" s="13">
        <v>1</v>
      </c>
      <c r="G216" s="1"/>
      <c r="H216" s="1"/>
      <c r="I216" s="1"/>
      <c r="J216" s="14">
        <v>1.4E-2</v>
      </c>
      <c r="K216" s="14">
        <f t="shared" si="3"/>
        <v>1.4E-2</v>
      </c>
      <c r="L216" s="15"/>
      <c r="M216" s="15"/>
    </row>
    <row r="217" spans="1:13" ht="37" customHeight="1" x14ac:dyDescent="0.3">
      <c r="A217" s="1"/>
      <c r="B217" s="2" t="s">
        <v>646</v>
      </c>
      <c r="C217" s="2" t="s">
        <v>647</v>
      </c>
      <c r="D217" s="2" t="s">
        <v>648</v>
      </c>
      <c r="E217" s="2" t="s">
        <v>649</v>
      </c>
      <c r="F217" s="13">
        <v>6</v>
      </c>
      <c r="G217" s="1" t="s">
        <v>548</v>
      </c>
      <c r="H217" s="1">
        <v>1000</v>
      </c>
      <c r="I217" s="1">
        <v>21</v>
      </c>
      <c r="J217" s="14">
        <v>1.8499999999999999E-2</v>
      </c>
      <c r="K217" s="14">
        <f t="shared" si="3"/>
        <v>0.111</v>
      </c>
      <c r="L217" s="15"/>
      <c r="M217" s="15"/>
    </row>
    <row r="218" spans="1:13" ht="37" customHeight="1" x14ac:dyDescent="0.3">
      <c r="A218" s="1"/>
      <c r="B218" s="2" t="s">
        <v>650</v>
      </c>
      <c r="C218" s="2" t="s">
        <v>651</v>
      </c>
      <c r="D218" s="2" t="s">
        <v>542</v>
      </c>
      <c r="E218" s="2" t="s">
        <v>652</v>
      </c>
      <c r="F218" s="13">
        <v>8</v>
      </c>
      <c r="G218" s="1"/>
      <c r="H218" s="1"/>
      <c r="I218" s="1"/>
      <c r="J218" s="14">
        <v>1.35E-2</v>
      </c>
      <c r="K218" s="14">
        <f t="shared" si="3"/>
        <v>0.108</v>
      </c>
      <c r="L218" s="15"/>
      <c r="M218" s="15"/>
    </row>
    <row r="219" spans="1:13" ht="37" customHeight="1" x14ac:dyDescent="0.3">
      <c r="A219" s="1"/>
      <c r="B219" s="2" t="s">
        <v>653</v>
      </c>
      <c r="C219" s="2" t="s">
        <v>654</v>
      </c>
      <c r="D219" s="2" t="s">
        <v>542</v>
      </c>
      <c r="E219" s="2" t="s">
        <v>655</v>
      </c>
      <c r="F219" s="13">
        <v>4</v>
      </c>
      <c r="G219" s="1" t="s">
        <v>548</v>
      </c>
      <c r="H219" s="1">
        <v>2000</v>
      </c>
      <c r="I219" s="1">
        <v>35</v>
      </c>
      <c r="J219" s="14">
        <v>1.4E-2</v>
      </c>
      <c r="K219" s="14">
        <f t="shared" si="3"/>
        <v>5.6000000000000001E-2</v>
      </c>
      <c r="L219" s="15"/>
      <c r="M219" s="15"/>
    </row>
    <row r="220" spans="1:13" ht="37" customHeight="1" x14ac:dyDescent="0.3">
      <c r="A220" s="1"/>
      <c r="B220" s="2" t="s">
        <v>656</v>
      </c>
      <c r="C220" s="2" t="s">
        <v>657</v>
      </c>
      <c r="D220" s="2" t="s">
        <v>542</v>
      </c>
      <c r="E220" s="2" t="s">
        <v>658</v>
      </c>
      <c r="F220" s="13">
        <v>2</v>
      </c>
      <c r="G220" s="1"/>
      <c r="H220" s="1"/>
      <c r="I220" s="1"/>
      <c r="J220" s="14">
        <v>1.54E-2</v>
      </c>
      <c r="K220" s="14">
        <f t="shared" si="3"/>
        <v>3.0800000000000001E-2</v>
      </c>
      <c r="L220" s="15"/>
      <c r="M220" s="15"/>
    </row>
    <row r="221" spans="1:13" ht="37" customHeight="1" x14ac:dyDescent="0.3">
      <c r="A221" s="1"/>
      <c r="B221" s="2" t="s">
        <v>659</v>
      </c>
      <c r="C221" s="2" t="s">
        <v>632</v>
      </c>
      <c r="D221" s="2" t="s">
        <v>542</v>
      </c>
      <c r="E221" s="2" t="s">
        <v>660</v>
      </c>
      <c r="F221" s="13">
        <v>2</v>
      </c>
      <c r="G221" s="1"/>
      <c r="H221" s="1"/>
      <c r="I221" s="1"/>
      <c r="J221" s="14">
        <v>1.2500000000000001E-2</v>
      </c>
      <c r="K221" s="14">
        <f t="shared" si="3"/>
        <v>2.5000000000000001E-2</v>
      </c>
      <c r="L221" s="15"/>
      <c r="M221" s="15"/>
    </row>
    <row r="222" spans="1:13" ht="37" customHeight="1" x14ac:dyDescent="0.3">
      <c r="A222" s="1"/>
      <c r="B222" s="2" t="s">
        <v>661</v>
      </c>
      <c r="C222" s="2" t="s">
        <v>640</v>
      </c>
      <c r="D222" s="2" t="s">
        <v>546</v>
      </c>
      <c r="E222" s="2" t="s">
        <v>662</v>
      </c>
      <c r="F222" s="13">
        <v>1</v>
      </c>
      <c r="G222" s="1"/>
      <c r="H222" s="1"/>
      <c r="I222" s="1"/>
      <c r="J222" s="14">
        <v>1.54E-2</v>
      </c>
      <c r="K222" s="14">
        <f t="shared" si="3"/>
        <v>1.54E-2</v>
      </c>
      <c r="L222" s="15"/>
      <c r="M222" s="15"/>
    </row>
    <row r="223" spans="1:13" ht="37" customHeight="1" x14ac:dyDescent="0.3">
      <c r="A223" s="1" t="s">
        <v>663</v>
      </c>
      <c r="B223" s="2" t="s">
        <v>664</v>
      </c>
      <c r="C223" s="2" t="s">
        <v>665</v>
      </c>
      <c r="D223" s="2" t="s">
        <v>666</v>
      </c>
      <c r="E223" s="2" t="s">
        <v>667</v>
      </c>
      <c r="F223" s="13">
        <v>2</v>
      </c>
      <c r="G223" s="1" t="s">
        <v>668</v>
      </c>
      <c r="H223" s="1">
        <v>5000</v>
      </c>
      <c r="I223" s="1">
        <v>56</v>
      </c>
      <c r="J223" s="14">
        <v>8.1000000000000003E-2</v>
      </c>
      <c r="K223" s="14">
        <f t="shared" si="3"/>
        <v>0.16200000000000001</v>
      </c>
      <c r="L223" s="15"/>
      <c r="M223" s="15"/>
    </row>
    <row r="224" spans="1:13" ht="37" customHeight="1" x14ac:dyDescent="0.3">
      <c r="A224" s="1"/>
      <c r="B224" s="2" t="s">
        <v>669</v>
      </c>
      <c r="C224" s="2" t="s">
        <v>670</v>
      </c>
      <c r="D224" s="2" t="s">
        <v>671</v>
      </c>
      <c r="E224" s="2" t="s">
        <v>672</v>
      </c>
      <c r="F224" s="13">
        <v>2</v>
      </c>
      <c r="G224" s="1"/>
      <c r="H224" s="1"/>
      <c r="I224" s="1"/>
      <c r="J224" s="14">
        <v>6.3E-3</v>
      </c>
      <c r="K224" s="14">
        <f t="shared" si="3"/>
        <v>1.26E-2</v>
      </c>
      <c r="L224" s="15"/>
      <c r="M224" s="15"/>
    </row>
    <row r="225" spans="1:13" ht="37" customHeight="1" x14ac:dyDescent="0.3">
      <c r="A225" s="58" t="s">
        <v>673</v>
      </c>
      <c r="B225" s="2" t="s">
        <v>674</v>
      </c>
      <c r="C225" s="2" t="s">
        <v>675</v>
      </c>
      <c r="D225" s="2" t="s">
        <v>671</v>
      </c>
      <c r="E225" s="2" t="s">
        <v>676</v>
      </c>
      <c r="F225" s="13">
        <v>6</v>
      </c>
      <c r="G225" s="1" t="s">
        <v>592</v>
      </c>
      <c r="H225" s="1">
        <v>3000</v>
      </c>
      <c r="I225" s="1">
        <v>45</v>
      </c>
      <c r="J225" s="14">
        <v>1.0500000000000001E-2</v>
      </c>
      <c r="K225" s="14">
        <f t="shared" si="3"/>
        <v>6.3E-2</v>
      </c>
      <c r="L225" s="15"/>
      <c r="M225" s="15"/>
    </row>
    <row r="226" spans="1:13" ht="37" customHeight="1" x14ac:dyDescent="0.3">
      <c r="A226" s="1">
        <v>411002024</v>
      </c>
      <c r="B226" s="2" t="s">
        <v>677</v>
      </c>
      <c r="C226" s="2" t="s">
        <v>678</v>
      </c>
      <c r="D226" s="2" t="s">
        <v>586</v>
      </c>
      <c r="E226" s="2" t="s">
        <v>679</v>
      </c>
      <c r="F226" s="13">
        <v>1</v>
      </c>
      <c r="G226" s="1" t="s">
        <v>592</v>
      </c>
      <c r="H226" s="1">
        <v>3000</v>
      </c>
      <c r="I226" s="1">
        <v>45</v>
      </c>
      <c r="J226" s="14">
        <v>1.6500000000000001E-2</v>
      </c>
      <c r="K226" s="14">
        <f t="shared" si="3"/>
        <v>1.6500000000000001E-2</v>
      </c>
      <c r="L226" s="15"/>
      <c r="M226" s="15"/>
    </row>
    <row r="227" spans="1:13" ht="37" customHeight="1" x14ac:dyDescent="0.3">
      <c r="A227" s="1" t="s">
        <v>680</v>
      </c>
      <c r="B227" s="2" t="s">
        <v>681</v>
      </c>
      <c r="C227" s="2" t="s">
        <v>682</v>
      </c>
      <c r="D227" s="2" t="s">
        <v>586</v>
      </c>
      <c r="E227" s="2" t="s">
        <v>683</v>
      </c>
      <c r="F227" s="13">
        <v>1</v>
      </c>
      <c r="G227" s="1"/>
      <c r="H227" s="1"/>
      <c r="I227" s="1"/>
      <c r="J227" s="14">
        <v>1.0200000000000001E-2</v>
      </c>
      <c r="K227" s="14">
        <f t="shared" si="3"/>
        <v>1.0200000000000001E-2</v>
      </c>
      <c r="L227" s="15"/>
      <c r="M227" s="15"/>
    </row>
    <row r="228" spans="1:13" ht="37" customHeight="1" x14ac:dyDescent="0.3">
      <c r="A228" s="1">
        <v>441010401</v>
      </c>
      <c r="B228" s="2" t="s">
        <v>684</v>
      </c>
      <c r="C228" s="2" t="s">
        <v>685</v>
      </c>
      <c r="D228" s="2" t="s">
        <v>671</v>
      </c>
      <c r="E228" s="2" t="s">
        <v>686</v>
      </c>
      <c r="F228" s="13">
        <v>1</v>
      </c>
      <c r="G228" s="1"/>
      <c r="H228" s="1"/>
      <c r="I228" s="1"/>
      <c r="J228" s="14">
        <v>1.4999999999999999E-2</v>
      </c>
      <c r="K228" s="14">
        <f t="shared" si="3"/>
        <v>1.4999999999999999E-2</v>
      </c>
      <c r="L228" s="15"/>
      <c r="M228" s="15"/>
    </row>
    <row r="229" spans="1:13" ht="37" customHeight="1" x14ac:dyDescent="0.3">
      <c r="A229" s="1" t="s">
        <v>687</v>
      </c>
      <c r="B229" s="2" t="s">
        <v>688</v>
      </c>
      <c r="C229" s="2" t="s">
        <v>689</v>
      </c>
      <c r="D229" s="2" t="s">
        <v>690</v>
      </c>
      <c r="E229" s="2" t="s">
        <v>691</v>
      </c>
      <c r="F229" s="13">
        <v>4</v>
      </c>
      <c r="G229" s="1"/>
      <c r="H229" s="1"/>
      <c r="I229" s="1"/>
      <c r="J229" s="14">
        <v>8.0999999999999996E-3</v>
      </c>
      <c r="K229" s="14">
        <f t="shared" si="3"/>
        <v>3.2399999999999998E-2</v>
      </c>
      <c r="L229" s="15"/>
      <c r="M229" s="15"/>
    </row>
    <row r="230" spans="1:13" ht="37" customHeight="1" x14ac:dyDescent="0.3">
      <c r="A230" s="1" t="s">
        <v>692</v>
      </c>
      <c r="B230" s="2" t="s">
        <v>693</v>
      </c>
      <c r="C230" s="2" t="s">
        <v>694</v>
      </c>
      <c r="D230" s="2" t="s">
        <v>690</v>
      </c>
      <c r="E230" s="2" t="s">
        <v>695</v>
      </c>
      <c r="F230" s="13">
        <v>1</v>
      </c>
      <c r="G230" s="1"/>
      <c r="H230" s="1"/>
      <c r="I230" s="1"/>
      <c r="J230" s="14">
        <v>3.5200000000000002E-2</v>
      </c>
      <c r="K230" s="14">
        <f t="shared" si="3"/>
        <v>3.5200000000000002E-2</v>
      </c>
      <c r="L230" s="15"/>
      <c r="M230" s="15"/>
    </row>
    <row r="231" spans="1:13" ht="37" customHeight="1" x14ac:dyDescent="0.3">
      <c r="A231" s="1"/>
      <c r="B231" s="2" t="s">
        <v>696</v>
      </c>
      <c r="C231" s="2" t="s">
        <v>697</v>
      </c>
      <c r="D231" s="2" t="s">
        <v>551</v>
      </c>
      <c r="E231" s="2" t="s">
        <v>698</v>
      </c>
      <c r="F231" s="13">
        <v>6</v>
      </c>
      <c r="G231" s="1"/>
      <c r="H231" s="1"/>
      <c r="I231" s="1"/>
      <c r="J231" s="14">
        <v>0.02</v>
      </c>
      <c r="K231" s="14">
        <f t="shared" si="3"/>
        <v>0.12</v>
      </c>
      <c r="L231" s="15"/>
      <c r="M231" s="15"/>
    </row>
    <row r="232" spans="1:13" ht="37" customHeight="1" x14ac:dyDescent="0.3">
      <c r="A232" s="1"/>
      <c r="B232" s="2" t="s">
        <v>699</v>
      </c>
      <c r="C232" s="2" t="s">
        <v>700</v>
      </c>
      <c r="D232" s="2" t="s">
        <v>701</v>
      </c>
      <c r="E232" s="2" t="s">
        <v>702</v>
      </c>
      <c r="F232" s="13">
        <v>2</v>
      </c>
      <c r="G232" s="1" t="s">
        <v>548</v>
      </c>
      <c r="H232" s="1">
        <v>500</v>
      </c>
      <c r="I232" s="1">
        <v>21</v>
      </c>
      <c r="J232" s="14">
        <v>3.2399999999999998E-2</v>
      </c>
      <c r="K232" s="14">
        <f t="shared" si="3"/>
        <v>6.4799999999999996E-2</v>
      </c>
      <c r="L232" s="15"/>
      <c r="M232" s="15"/>
    </row>
    <row r="233" spans="1:13" ht="37" customHeight="1" x14ac:dyDescent="0.3">
      <c r="A233" s="1"/>
      <c r="B233" s="2" t="s">
        <v>703</v>
      </c>
      <c r="C233" s="2" t="s">
        <v>704</v>
      </c>
      <c r="D233" s="2" t="s">
        <v>705</v>
      </c>
      <c r="E233" s="2" t="s">
        <v>706</v>
      </c>
      <c r="F233" s="13">
        <v>1</v>
      </c>
      <c r="G233" s="1" t="s">
        <v>707</v>
      </c>
      <c r="H233" s="1">
        <v>1680</v>
      </c>
      <c r="I233" s="1">
        <v>35</v>
      </c>
      <c r="J233" s="14">
        <v>3.6764999999999999</v>
      </c>
      <c r="K233" s="14">
        <f t="shared" si="3"/>
        <v>3.6764999999999999</v>
      </c>
      <c r="L233" s="70">
        <v>-0.75149999999999995</v>
      </c>
      <c r="M233" s="15"/>
    </row>
    <row r="234" spans="1:13" ht="37" customHeight="1" x14ac:dyDescent="0.3">
      <c r="A234" s="1"/>
      <c r="B234" s="2" t="s">
        <v>708</v>
      </c>
      <c r="C234" s="2" t="s">
        <v>643</v>
      </c>
      <c r="D234" s="2" t="s">
        <v>644</v>
      </c>
      <c r="E234" s="2" t="s">
        <v>709</v>
      </c>
      <c r="F234" s="13">
        <v>1</v>
      </c>
      <c r="G234" s="1"/>
      <c r="H234" s="1"/>
      <c r="I234" s="1"/>
      <c r="J234" s="14">
        <v>1.9E-2</v>
      </c>
      <c r="K234" s="14">
        <f t="shared" si="3"/>
        <v>1.9E-2</v>
      </c>
      <c r="L234" s="15"/>
      <c r="M234" s="15"/>
    </row>
    <row r="235" spans="1:13" ht="37" customHeight="1" x14ac:dyDescent="0.3">
      <c r="A235" s="1"/>
      <c r="B235" s="2" t="s">
        <v>710</v>
      </c>
      <c r="C235" s="2" t="s">
        <v>711</v>
      </c>
      <c r="D235" s="2" t="s">
        <v>712</v>
      </c>
      <c r="E235" s="2" t="s">
        <v>713</v>
      </c>
      <c r="F235" s="13">
        <v>1</v>
      </c>
      <c r="G235" s="1" t="s">
        <v>623</v>
      </c>
      <c r="H235" s="1">
        <v>1000</v>
      </c>
      <c r="I235" s="1">
        <v>21</v>
      </c>
      <c r="J235" s="14">
        <v>2.6499999999999999E-2</v>
      </c>
      <c r="K235" s="14">
        <f t="shared" si="3"/>
        <v>2.6499999999999999E-2</v>
      </c>
      <c r="L235" s="15"/>
      <c r="M235" s="15"/>
    </row>
    <row r="236" spans="1:13" ht="37" customHeight="1" x14ac:dyDescent="0.3">
      <c r="A236" s="1" t="s">
        <v>714</v>
      </c>
      <c r="B236" s="2" t="s">
        <v>715</v>
      </c>
      <c r="C236" s="2" t="s">
        <v>716</v>
      </c>
      <c r="D236" s="2" t="s">
        <v>530</v>
      </c>
      <c r="E236" s="2" t="s">
        <v>717</v>
      </c>
      <c r="F236" s="13">
        <v>2</v>
      </c>
      <c r="G236" s="1" t="s">
        <v>718</v>
      </c>
      <c r="H236" s="1">
        <v>5000</v>
      </c>
      <c r="I236" s="1">
        <v>196</v>
      </c>
      <c r="J236" s="14">
        <v>0.25</v>
      </c>
      <c r="K236" s="14">
        <f t="shared" si="3"/>
        <v>0.5</v>
      </c>
      <c r="L236" s="15"/>
      <c r="M236" s="15"/>
    </row>
    <row r="237" spans="1:13" ht="37" customHeight="1" x14ac:dyDescent="0.3">
      <c r="A237" s="1" t="s">
        <v>719</v>
      </c>
      <c r="B237" s="2" t="s">
        <v>720</v>
      </c>
      <c r="C237" s="2" t="s">
        <v>721</v>
      </c>
      <c r="D237" s="2" t="s">
        <v>722</v>
      </c>
      <c r="E237" s="2" t="s">
        <v>723</v>
      </c>
      <c r="F237" s="13">
        <v>17</v>
      </c>
      <c r="G237" s="1" t="s">
        <v>576</v>
      </c>
      <c r="H237" s="1">
        <v>100000</v>
      </c>
      <c r="I237" s="1">
        <v>45</v>
      </c>
      <c r="J237" s="14">
        <v>0.13</v>
      </c>
      <c r="K237" s="14">
        <f t="shared" si="3"/>
        <v>2.21</v>
      </c>
      <c r="L237" s="70">
        <v>0.78</v>
      </c>
      <c r="M237" s="15" t="s">
        <v>724</v>
      </c>
    </row>
    <row r="238" spans="1:13" ht="37" customHeight="1" x14ac:dyDescent="0.3">
      <c r="A238" s="1">
        <v>311521220</v>
      </c>
      <c r="B238" s="2" t="s">
        <v>725</v>
      </c>
      <c r="C238" s="2" t="s">
        <v>726</v>
      </c>
      <c r="D238" s="2" t="s">
        <v>727</v>
      </c>
      <c r="E238" s="2" t="s">
        <v>728</v>
      </c>
      <c r="F238" s="13">
        <v>2</v>
      </c>
      <c r="G238" s="1" t="s">
        <v>729</v>
      </c>
      <c r="H238" s="1">
        <v>2000</v>
      </c>
      <c r="I238" s="1">
        <v>112</v>
      </c>
      <c r="J238" s="14">
        <v>0.35</v>
      </c>
      <c r="K238" s="14">
        <f t="shared" si="3"/>
        <v>0.7</v>
      </c>
      <c r="L238" s="15"/>
      <c r="M238" s="15"/>
    </row>
    <row r="239" spans="1:13" ht="37" customHeight="1" x14ac:dyDescent="0.3">
      <c r="A239" s="58">
        <v>311107404</v>
      </c>
      <c r="B239" s="2" t="s">
        <v>730</v>
      </c>
      <c r="C239" s="2" t="s">
        <v>731</v>
      </c>
      <c r="D239" s="2" t="s">
        <v>732</v>
      </c>
      <c r="E239" s="2" t="s">
        <v>733</v>
      </c>
      <c r="F239" s="13">
        <v>1</v>
      </c>
      <c r="G239" s="1" t="s">
        <v>576</v>
      </c>
      <c r="H239" s="1">
        <v>2500</v>
      </c>
      <c r="I239" s="1">
        <v>45</v>
      </c>
      <c r="J239" s="14">
        <v>0.04</v>
      </c>
      <c r="K239" s="14">
        <f t="shared" si="3"/>
        <v>0.04</v>
      </c>
      <c r="L239" s="15"/>
      <c r="M239" s="15"/>
    </row>
    <row r="240" spans="1:13" ht="37" customHeight="1" x14ac:dyDescent="0.3">
      <c r="A240" s="1">
        <v>312007146</v>
      </c>
      <c r="B240" s="2" t="s">
        <v>734</v>
      </c>
      <c r="C240" s="2" t="s">
        <v>735</v>
      </c>
      <c r="D240" s="2" t="s">
        <v>736</v>
      </c>
      <c r="E240" s="2" t="s">
        <v>737</v>
      </c>
      <c r="F240" s="13">
        <v>1</v>
      </c>
      <c r="G240" s="1" t="s">
        <v>738</v>
      </c>
      <c r="H240" s="1">
        <v>3000</v>
      </c>
      <c r="I240" s="1">
        <v>85</v>
      </c>
      <c r="J240" s="14">
        <v>2.1000000000000001E-2</v>
      </c>
      <c r="K240" s="14">
        <f t="shared" si="3"/>
        <v>2.1000000000000001E-2</v>
      </c>
      <c r="L240" s="15"/>
      <c r="M240" s="15"/>
    </row>
    <row r="241" spans="1:13" ht="37" customHeight="1" x14ac:dyDescent="0.3">
      <c r="A241" s="58">
        <v>311106863</v>
      </c>
      <c r="B241" s="2" t="s">
        <v>739</v>
      </c>
      <c r="C241" s="2" t="s">
        <v>740</v>
      </c>
      <c r="D241" s="2" t="s">
        <v>741</v>
      </c>
      <c r="E241" s="2" t="s">
        <v>742</v>
      </c>
      <c r="F241" s="13">
        <v>1</v>
      </c>
      <c r="G241" s="1" t="s">
        <v>630</v>
      </c>
      <c r="H241" s="1">
        <v>2500</v>
      </c>
      <c r="I241" s="1">
        <v>85</v>
      </c>
      <c r="J241" s="14">
        <v>0.80879999999999996</v>
      </c>
      <c r="K241" s="14">
        <f t="shared" si="3"/>
        <v>0.80879999999999996</v>
      </c>
      <c r="L241" s="70">
        <v>0.7268</v>
      </c>
      <c r="M241" s="15" t="s">
        <v>743</v>
      </c>
    </row>
    <row r="242" spans="1:13" ht="37" customHeight="1" x14ac:dyDescent="0.3">
      <c r="A242" s="1">
        <v>310470142</v>
      </c>
      <c r="B242" s="2" t="s">
        <v>744</v>
      </c>
      <c r="C242" s="2" t="s">
        <v>745</v>
      </c>
      <c r="D242" s="2" t="s">
        <v>565</v>
      </c>
      <c r="E242" s="2" t="s">
        <v>746</v>
      </c>
      <c r="F242" s="13">
        <v>1</v>
      </c>
      <c r="G242" s="1" t="s">
        <v>583</v>
      </c>
      <c r="H242" s="1">
        <v>3000</v>
      </c>
      <c r="I242" s="1">
        <v>35</v>
      </c>
      <c r="J242" s="14">
        <v>0.05</v>
      </c>
      <c r="K242" s="14">
        <f t="shared" si="3"/>
        <v>0.05</v>
      </c>
      <c r="L242" s="15"/>
      <c r="M242" s="15"/>
    </row>
    <row r="243" spans="1:13" ht="37" customHeight="1" x14ac:dyDescent="0.3">
      <c r="A243" s="1">
        <v>311308090</v>
      </c>
      <c r="B243" s="2" t="s">
        <v>747</v>
      </c>
      <c r="C243" s="2" t="s">
        <v>748</v>
      </c>
      <c r="D243" s="2" t="s">
        <v>671</v>
      </c>
      <c r="E243" s="2" t="s">
        <v>749</v>
      </c>
      <c r="F243" s="13">
        <v>1</v>
      </c>
      <c r="G243" s="1"/>
      <c r="H243" s="1"/>
      <c r="I243" s="1"/>
      <c r="J243" s="14">
        <v>3.5000000000000003E-2</v>
      </c>
      <c r="K243" s="14">
        <f t="shared" si="3"/>
        <v>3.5000000000000003E-2</v>
      </c>
      <c r="L243" s="15"/>
      <c r="M243" s="15"/>
    </row>
    <row r="244" spans="1:13" ht="37" customHeight="1" x14ac:dyDescent="0.3">
      <c r="A244" s="71"/>
      <c r="B244" s="2" t="s">
        <v>750</v>
      </c>
      <c r="C244" s="2" t="s">
        <v>751</v>
      </c>
      <c r="D244" s="2"/>
      <c r="E244" s="2" t="s">
        <v>752</v>
      </c>
      <c r="F244" s="13">
        <v>1</v>
      </c>
      <c r="G244" s="1"/>
      <c r="H244" s="1"/>
      <c r="I244" s="1"/>
      <c r="J244" s="14">
        <v>0.88580000000000003</v>
      </c>
      <c r="K244" s="14">
        <f t="shared" si="3"/>
        <v>0.88580000000000003</v>
      </c>
      <c r="L244" s="70">
        <v>0.88580000000000003</v>
      </c>
      <c r="M244" s="15" t="s">
        <v>753</v>
      </c>
    </row>
    <row r="245" spans="1:13" ht="37" customHeight="1" x14ac:dyDescent="0.3">
      <c r="A245" s="1" t="s">
        <v>754</v>
      </c>
      <c r="B245" s="2" t="s">
        <v>755</v>
      </c>
      <c r="C245" s="2" t="s">
        <v>756</v>
      </c>
      <c r="D245" s="2" t="s">
        <v>757</v>
      </c>
      <c r="E245" s="2" t="s">
        <v>758</v>
      </c>
      <c r="F245" s="13">
        <v>2</v>
      </c>
      <c r="G245" s="1" t="s">
        <v>532</v>
      </c>
      <c r="H245" s="1">
        <v>4000</v>
      </c>
      <c r="I245" s="1">
        <v>56</v>
      </c>
      <c r="J245" s="14">
        <v>0.22</v>
      </c>
      <c r="K245" s="14">
        <f t="shared" si="3"/>
        <v>0.44</v>
      </c>
      <c r="L245" s="70">
        <v>0.44</v>
      </c>
      <c r="M245" s="15" t="s">
        <v>759</v>
      </c>
    </row>
    <row r="246" spans="1:13" ht="37" customHeight="1" x14ac:dyDescent="0.3">
      <c r="A246" s="1">
        <v>310245191</v>
      </c>
      <c r="B246" s="2" t="s">
        <v>760</v>
      </c>
      <c r="C246" s="2" t="s">
        <v>761</v>
      </c>
      <c r="D246" s="2" t="s">
        <v>762</v>
      </c>
      <c r="E246" s="2" t="s">
        <v>763</v>
      </c>
      <c r="F246" s="13">
        <v>4</v>
      </c>
      <c r="G246" s="1" t="s">
        <v>532</v>
      </c>
      <c r="H246" s="1">
        <v>4000</v>
      </c>
      <c r="I246" s="1">
        <v>56</v>
      </c>
      <c r="J246" s="14">
        <v>0.2646</v>
      </c>
      <c r="K246" s="14">
        <f t="shared" si="3"/>
        <v>1.0584</v>
      </c>
      <c r="L246" s="15"/>
      <c r="M246" s="15"/>
    </row>
    <row r="247" spans="1:13" ht="37" customHeight="1" x14ac:dyDescent="0.3">
      <c r="A247" s="1">
        <v>310403281</v>
      </c>
      <c r="B247" s="2" t="s">
        <v>764</v>
      </c>
      <c r="C247" s="2" t="s">
        <v>765</v>
      </c>
      <c r="D247" s="2" t="s">
        <v>565</v>
      </c>
      <c r="E247" s="2" t="s">
        <v>766</v>
      </c>
      <c r="F247" s="13">
        <v>1</v>
      </c>
      <c r="G247" s="1" t="s">
        <v>767</v>
      </c>
      <c r="H247" s="1">
        <v>3000</v>
      </c>
      <c r="I247" s="1">
        <v>35</v>
      </c>
      <c r="J247" s="14">
        <v>5.1999999999999998E-2</v>
      </c>
      <c r="K247" s="14">
        <f t="shared" si="3"/>
        <v>5.1999999999999998E-2</v>
      </c>
      <c r="L247" s="15"/>
      <c r="M247" s="15"/>
    </row>
    <row r="248" spans="1:13" ht="37" customHeight="1" x14ac:dyDescent="0.3">
      <c r="A248" s="1">
        <v>310403359</v>
      </c>
      <c r="B248" s="2" t="s">
        <v>768</v>
      </c>
      <c r="C248" s="2" t="s">
        <v>769</v>
      </c>
      <c r="D248" s="2" t="s">
        <v>565</v>
      </c>
      <c r="E248" s="2" t="s">
        <v>770</v>
      </c>
      <c r="F248" s="13">
        <v>1</v>
      </c>
      <c r="G248" s="1" t="s">
        <v>767</v>
      </c>
      <c r="H248" s="1">
        <v>3000</v>
      </c>
      <c r="I248" s="1">
        <v>35</v>
      </c>
      <c r="J248" s="14">
        <v>5.8999999999999997E-2</v>
      </c>
      <c r="K248" s="14">
        <f t="shared" si="3"/>
        <v>5.8999999999999997E-2</v>
      </c>
      <c r="L248" s="15"/>
      <c r="M248" s="15"/>
    </row>
    <row r="249" spans="1:13" ht="37" customHeight="1" x14ac:dyDescent="0.3">
      <c r="A249" s="1">
        <v>310200132</v>
      </c>
      <c r="B249" s="2" t="s">
        <v>771</v>
      </c>
      <c r="C249" s="2" t="s">
        <v>772</v>
      </c>
      <c r="D249" s="2" t="s">
        <v>773</v>
      </c>
      <c r="E249" s="2" t="s">
        <v>774</v>
      </c>
      <c r="F249" s="13">
        <v>1</v>
      </c>
      <c r="G249" s="1" t="s">
        <v>572</v>
      </c>
      <c r="H249" s="1">
        <v>490</v>
      </c>
      <c r="I249" s="1">
        <v>35</v>
      </c>
      <c r="J249" s="14">
        <v>0.60299999999999998</v>
      </c>
      <c r="K249" s="14">
        <f t="shared" si="3"/>
        <v>0.60299999999999998</v>
      </c>
      <c r="L249" s="70">
        <v>0.60299999999999998</v>
      </c>
      <c r="M249" s="15" t="s">
        <v>753</v>
      </c>
    </row>
    <row r="250" spans="1:13" ht="37" customHeight="1" x14ac:dyDescent="0.3">
      <c r="A250" s="58">
        <v>511132847</v>
      </c>
      <c r="B250" s="2" t="s">
        <v>775</v>
      </c>
      <c r="C250" s="2" t="s">
        <v>776</v>
      </c>
      <c r="D250" s="2" t="s">
        <v>777</v>
      </c>
      <c r="E250" s="2" t="s">
        <v>778</v>
      </c>
      <c r="F250" s="13">
        <v>1</v>
      </c>
      <c r="G250" s="1" t="s">
        <v>779</v>
      </c>
      <c r="H250" s="1">
        <v>2000</v>
      </c>
      <c r="I250" s="1">
        <v>28</v>
      </c>
      <c r="J250" s="14">
        <v>4.4999999999999998E-2</v>
      </c>
      <c r="K250" s="14">
        <f t="shared" si="3"/>
        <v>4.4999999999999998E-2</v>
      </c>
      <c r="L250" s="15"/>
      <c r="M250" s="15"/>
    </row>
    <row r="251" spans="1:13" ht="37" customHeight="1" x14ac:dyDescent="0.3">
      <c r="A251" s="1">
        <v>511130007</v>
      </c>
      <c r="B251" s="2" t="s">
        <v>780</v>
      </c>
      <c r="C251" s="2" t="s">
        <v>776</v>
      </c>
      <c r="D251" s="2" t="s">
        <v>781</v>
      </c>
      <c r="E251" s="2" t="s">
        <v>782</v>
      </c>
      <c r="F251" s="13">
        <v>1</v>
      </c>
      <c r="G251" s="1" t="s">
        <v>779</v>
      </c>
      <c r="H251" s="1">
        <v>1000</v>
      </c>
      <c r="I251" s="1">
        <v>35</v>
      </c>
      <c r="J251" s="14">
        <v>4.4999999999999998E-2</v>
      </c>
      <c r="K251" s="14">
        <f t="shared" si="3"/>
        <v>4.4999999999999998E-2</v>
      </c>
      <c r="L251" s="15"/>
      <c r="M251" s="15"/>
    </row>
    <row r="252" spans="1:13" ht="37" customHeight="1" x14ac:dyDescent="0.3">
      <c r="A252" s="1" t="s">
        <v>783</v>
      </c>
      <c r="B252" s="47" t="s">
        <v>784</v>
      </c>
      <c r="C252" s="2" t="s">
        <v>785</v>
      </c>
      <c r="D252" s="2" t="s">
        <v>786</v>
      </c>
      <c r="E252" s="2" t="s">
        <v>787</v>
      </c>
      <c r="F252" s="13">
        <v>2</v>
      </c>
      <c r="G252" s="1" t="s">
        <v>779</v>
      </c>
      <c r="H252" s="1">
        <v>3000</v>
      </c>
      <c r="I252" s="1">
        <v>35</v>
      </c>
      <c r="J252" s="14">
        <v>3.9E-2</v>
      </c>
      <c r="K252" s="14">
        <f t="shared" si="3"/>
        <v>7.8E-2</v>
      </c>
      <c r="L252" s="15"/>
      <c r="M252" s="15"/>
    </row>
    <row r="253" spans="1:13" ht="37" customHeight="1" x14ac:dyDescent="0.3">
      <c r="A253" s="1">
        <v>511130047</v>
      </c>
      <c r="B253" s="2" t="s">
        <v>788</v>
      </c>
      <c r="C253" s="2" t="s">
        <v>776</v>
      </c>
      <c r="D253" s="2" t="s">
        <v>786</v>
      </c>
      <c r="E253" s="2" t="s">
        <v>789</v>
      </c>
      <c r="F253" s="13">
        <v>1</v>
      </c>
      <c r="G253" s="1" t="s">
        <v>779</v>
      </c>
      <c r="H253" s="1">
        <v>3000</v>
      </c>
      <c r="I253" s="1">
        <v>35</v>
      </c>
      <c r="J253" s="14">
        <v>3.9E-2</v>
      </c>
      <c r="K253" s="14">
        <f t="shared" si="3"/>
        <v>3.9E-2</v>
      </c>
      <c r="L253" s="15"/>
      <c r="M253" s="15"/>
    </row>
    <row r="254" spans="1:13" ht="37" customHeight="1" x14ac:dyDescent="0.3">
      <c r="A254" s="58">
        <v>511110129</v>
      </c>
      <c r="B254" s="2" t="s">
        <v>790</v>
      </c>
      <c r="C254" s="2" t="s">
        <v>791</v>
      </c>
      <c r="D254" s="2" t="s">
        <v>792</v>
      </c>
      <c r="E254" s="2" t="s">
        <v>793</v>
      </c>
      <c r="F254" s="13">
        <v>1</v>
      </c>
      <c r="G254" s="1" t="s">
        <v>794</v>
      </c>
      <c r="H254" s="1">
        <v>2000</v>
      </c>
      <c r="I254" s="1">
        <v>42</v>
      </c>
      <c r="J254" s="14">
        <v>5.8900000000000001E-2</v>
      </c>
      <c r="K254" s="14">
        <f t="shared" si="3"/>
        <v>5.8900000000000001E-2</v>
      </c>
      <c r="L254" s="15"/>
      <c r="M254" s="15"/>
    </row>
    <row r="255" spans="1:13" ht="37" customHeight="1" x14ac:dyDescent="0.3">
      <c r="A255" s="1">
        <v>511130650</v>
      </c>
      <c r="B255" s="2" t="s">
        <v>795</v>
      </c>
      <c r="C255" s="2" t="s">
        <v>356</v>
      </c>
      <c r="D255" s="2" t="s">
        <v>781</v>
      </c>
      <c r="E255" s="2" t="s">
        <v>796</v>
      </c>
      <c r="F255" s="13">
        <v>1</v>
      </c>
      <c r="G255" s="1" t="s">
        <v>779</v>
      </c>
      <c r="H255" s="1">
        <v>1000</v>
      </c>
      <c r="I255" s="1">
        <v>35</v>
      </c>
      <c r="J255" s="14">
        <v>4.4999999999999998E-2</v>
      </c>
      <c r="K255" s="14">
        <f t="shared" si="3"/>
        <v>4.4999999999999998E-2</v>
      </c>
      <c r="L255" s="15"/>
      <c r="M255" s="15"/>
    </row>
    <row r="256" spans="1:13" ht="37" customHeight="1" x14ac:dyDescent="0.3">
      <c r="A256" s="1">
        <v>441016327</v>
      </c>
      <c r="B256" s="2" t="s">
        <v>797</v>
      </c>
      <c r="C256" s="2" t="s">
        <v>798</v>
      </c>
      <c r="D256" s="2" t="s">
        <v>736</v>
      </c>
      <c r="E256" s="2" t="s">
        <v>799</v>
      </c>
      <c r="F256" s="13">
        <v>4</v>
      </c>
      <c r="G256" s="1"/>
      <c r="H256" s="1"/>
      <c r="I256" s="1"/>
      <c r="J256" s="14">
        <v>3.5000000000000003E-2</v>
      </c>
      <c r="K256" s="14">
        <f t="shared" si="3"/>
        <v>0.14000000000000001</v>
      </c>
      <c r="L256" s="15"/>
      <c r="M256" s="15"/>
    </row>
    <row r="257" spans="1:13" ht="37" customHeight="1" x14ac:dyDescent="0.3">
      <c r="A257" s="1">
        <v>441013230</v>
      </c>
      <c r="B257" s="72" t="s">
        <v>800</v>
      </c>
      <c r="C257" s="2" t="s">
        <v>801</v>
      </c>
      <c r="D257" s="2" t="s">
        <v>671</v>
      </c>
      <c r="E257" s="2" t="s">
        <v>802</v>
      </c>
      <c r="F257" s="13">
        <v>4</v>
      </c>
      <c r="G257" s="1"/>
      <c r="H257" s="1"/>
      <c r="I257" s="1"/>
      <c r="J257" s="14">
        <v>3.2000000000000001E-2</v>
      </c>
      <c r="K257" s="14">
        <f t="shared" si="3"/>
        <v>0.128</v>
      </c>
      <c r="L257" s="15"/>
      <c r="M257" s="15"/>
    </row>
    <row r="258" spans="1:13" ht="37" customHeight="1" x14ac:dyDescent="0.3">
      <c r="A258" s="1"/>
      <c r="B258" s="2" t="s">
        <v>15</v>
      </c>
      <c r="C258" s="2" t="s">
        <v>803</v>
      </c>
      <c r="D258" s="2" t="s">
        <v>804</v>
      </c>
      <c r="E258" s="2" t="s">
        <v>805</v>
      </c>
      <c r="F258" s="13">
        <v>0</v>
      </c>
      <c r="G258" s="1"/>
      <c r="H258" s="1"/>
      <c r="I258" s="1"/>
      <c r="J258" s="14"/>
      <c r="K258" s="14">
        <f t="shared" si="3"/>
        <v>0</v>
      </c>
      <c r="L258" s="15"/>
      <c r="M258" s="15"/>
    </row>
    <row r="259" spans="1:13" ht="37" customHeight="1" x14ac:dyDescent="0.3">
      <c r="A259" s="1">
        <v>471110357</v>
      </c>
      <c r="B259" s="2" t="s">
        <v>806</v>
      </c>
      <c r="C259" s="2" t="s">
        <v>807</v>
      </c>
      <c r="D259" s="2" t="s">
        <v>808</v>
      </c>
      <c r="E259" s="2" t="s">
        <v>809</v>
      </c>
      <c r="F259" s="13">
        <v>1</v>
      </c>
      <c r="G259" s="1"/>
      <c r="H259" s="1"/>
      <c r="I259" s="1"/>
      <c r="J259" s="14">
        <v>4.6100000000000002E-2</v>
      </c>
      <c r="K259" s="14">
        <f t="shared" si="3"/>
        <v>4.6100000000000002E-2</v>
      </c>
      <c r="L259" s="15"/>
      <c r="M259" s="15"/>
    </row>
    <row r="260" spans="1:13" ht="37" customHeight="1" x14ac:dyDescent="0.3">
      <c r="A260" s="1" t="s">
        <v>810</v>
      </c>
      <c r="B260" s="2" t="s">
        <v>811</v>
      </c>
      <c r="C260" s="2" t="s">
        <v>812</v>
      </c>
      <c r="D260" s="2" t="s">
        <v>813</v>
      </c>
      <c r="E260" s="2" t="s">
        <v>814</v>
      </c>
      <c r="F260" s="13">
        <v>1</v>
      </c>
      <c r="G260" s="1" t="s">
        <v>815</v>
      </c>
      <c r="H260" s="1">
        <v>1000</v>
      </c>
      <c r="I260" s="1">
        <v>21</v>
      </c>
      <c r="J260" s="14">
        <v>0.53800000000000003</v>
      </c>
      <c r="K260" s="14">
        <f t="shared" ref="K260:K270" si="4">J260*F260</f>
        <v>0.53800000000000003</v>
      </c>
      <c r="L260" s="15"/>
      <c r="M260" s="15"/>
    </row>
    <row r="261" spans="1:13" ht="37" customHeight="1" x14ac:dyDescent="0.3">
      <c r="A261" s="1" t="s">
        <v>754</v>
      </c>
      <c r="B261" s="2" t="s">
        <v>816</v>
      </c>
      <c r="C261" s="2" t="s">
        <v>817</v>
      </c>
      <c r="D261" s="2" t="s">
        <v>671</v>
      </c>
      <c r="E261" s="2" t="s">
        <v>818</v>
      </c>
      <c r="F261" s="13">
        <v>1</v>
      </c>
      <c r="G261" s="1" t="s">
        <v>819</v>
      </c>
      <c r="H261" s="1">
        <v>3000</v>
      </c>
      <c r="I261" s="1">
        <v>21</v>
      </c>
      <c r="J261" s="14">
        <v>1.0999999999999999E-2</v>
      </c>
      <c r="K261" s="14">
        <f t="shared" si="4"/>
        <v>1.0999999999999999E-2</v>
      </c>
      <c r="L261" s="15"/>
      <c r="M261" s="15"/>
    </row>
    <row r="262" spans="1:13" ht="37" customHeight="1" x14ac:dyDescent="0.3">
      <c r="A262" s="1" t="s">
        <v>820</v>
      </c>
      <c r="B262" s="2" t="s">
        <v>821</v>
      </c>
      <c r="C262" s="2" t="s">
        <v>822</v>
      </c>
      <c r="D262" s="2" t="s">
        <v>823</v>
      </c>
      <c r="E262" s="2" t="s">
        <v>824</v>
      </c>
      <c r="F262" s="13">
        <v>1</v>
      </c>
      <c r="G262" s="1" t="s">
        <v>576</v>
      </c>
      <c r="H262" s="1">
        <v>4000</v>
      </c>
      <c r="I262" s="1">
        <v>85</v>
      </c>
      <c r="J262" s="14">
        <v>0.26900000000000002</v>
      </c>
      <c r="K262" s="14">
        <f t="shared" si="4"/>
        <v>0.26900000000000002</v>
      </c>
      <c r="L262" s="15"/>
      <c r="M262" s="15"/>
    </row>
    <row r="263" spans="1:13" ht="37" customHeight="1" x14ac:dyDescent="0.3">
      <c r="A263" s="1" t="s">
        <v>825</v>
      </c>
      <c r="B263" s="2" t="s">
        <v>826</v>
      </c>
      <c r="C263" s="2" t="s">
        <v>827</v>
      </c>
      <c r="D263" s="2" t="s">
        <v>671</v>
      </c>
      <c r="E263" s="2" t="s">
        <v>828</v>
      </c>
      <c r="F263" s="13">
        <v>6</v>
      </c>
      <c r="G263" s="1" t="s">
        <v>738</v>
      </c>
      <c r="H263" s="1">
        <v>3000</v>
      </c>
      <c r="I263" s="1">
        <v>70</v>
      </c>
      <c r="J263" s="14">
        <v>1.6799999999999999E-2</v>
      </c>
      <c r="K263" s="14">
        <f t="shared" si="4"/>
        <v>0.1008</v>
      </c>
      <c r="L263" s="15"/>
      <c r="M263" s="15"/>
    </row>
    <row r="264" spans="1:13" ht="37" customHeight="1" x14ac:dyDescent="0.3">
      <c r="A264" s="1">
        <v>421000006</v>
      </c>
      <c r="B264" s="2" t="s">
        <v>829</v>
      </c>
      <c r="C264" s="2" t="s">
        <v>830</v>
      </c>
      <c r="D264" s="2" t="s">
        <v>831</v>
      </c>
      <c r="E264" s="2" t="s">
        <v>832</v>
      </c>
      <c r="F264" s="13">
        <v>4</v>
      </c>
      <c r="G264" s="1"/>
      <c r="H264" s="1"/>
      <c r="I264" s="1"/>
      <c r="J264" s="14">
        <v>0.02</v>
      </c>
      <c r="K264" s="14">
        <f t="shared" si="4"/>
        <v>0.08</v>
      </c>
      <c r="L264" s="15"/>
      <c r="M264" s="15"/>
    </row>
    <row r="265" spans="1:13" ht="37" customHeight="1" x14ac:dyDescent="0.3">
      <c r="A265" s="1">
        <v>421000056</v>
      </c>
      <c r="B265" s="2" t="s">
        <v>833</v>
      </c>
      <c r="C265" s="2" t="s">
        <v>834</v>
      </c>
      <c r="D265" s="2" t="s">
        <v>831</v>
      </c>
      <c r="E265" s="2" t="s">
        <v>835</v>
      </c>
      <c r="F265" s="13">
        <v>2</v>
      </c>
      <c r="G265" s="1"/>
      <c r="H265" s="1"/>
      <c r="I265" s="1"/>
      <c r="J265" s="14">
        <v>0.02</v>
      </c>
      <c r="K265" s="14">
        <f t="shared" si="4"/>
        <v>0.04</v>
      </c>
      <c r="L265" s="15"/>
      <c r="M265" s="15"/>
    </row>
    <row r="266" spans="1:13" ht="37" customHeight="1" x14ac:dyDescent="0.3">
      <c r="A266" s="1">
        <v>421013906</v>
      </c>
      <c r="B266" s="2" t="s">
        <v>836</v>
      </c>
      <c r="C266" s="2" t="s">
        <v>837</v>
      </c>
      <c r="D266" s="2" t="s">
        <v>831</v>
      </c>
      <c r="E266" s="2" t="s">
        <v>838</v>
      </c>
      <c r="F266" s="13">
        <v>2</v>
      </c>
      <c r="G266" s="1"/>
      <c r="H266" s="1"/>
      <c r="I266" s="1"/>
      <c r="J266" s="14">
        <v>8.2000000000000007E-3</v>
      </c>
      <c r="K266" s="14">
        <f t="shared" si="4"/>
        <v>1.6400000000000001E-2</v>
      </c>
      <c r="L266" s="15"/>
      <c r="M266" s="15"/>
    </row>
    <row r="267" spans="1:13" ht="37" customHeight="1" x14ac:dyDescent="0.3">
      <c r="A267" s="1">
        <v>411000203</v>
      </c>
      <c r="B267" s="2" t="s">
        <v>839</v>
      </c>
      <c r="C267" s="2" t="s">
        <v>840</v>
      </c>
      <c r="D267" s="2" t="s">
        <v>590</v>
      </c>
      <c r="E267" s="2" t="s">
        <v>841</v>
      </c>
      <c r="F267" s="13">
        <v>2</v>
      </c>
      <c r="G267" s="1" t="s">
        <v>842</v>
      </c>
      <c r="H267" s="1">
        <v>3000</v>
      </c>
      <c r="I267" s="1">
        <v>28</v>
      </c>
      <c r="J267" s="14">
        <v>2.6499999999999999E-2</v>
      </c>
      <c r="K267" s="14">
        <f t="shared" si="4"/>
        <v>5.2999999999999999E-2</v>
      </c>
      <c r="L267" s="15"/>
      <c r="M267" s="15"/>
    </row>
    <row r="268" spans="1:13" ht="37" customHeight="1" x14ac:dyDescent="0.3">
      <c r="A268" s="1" t="s">
        <v>754</v>
      </c>
      <c r="B268" s="2" t="s">
        <v>843</v>
      </c>
      <c r="C268" s="2" t="s">
        <v>844</v>
      </c>
      <c r="D268" s="2" t="s">
        <v>844</v>
      </c>
      <c r="E268" s="2" t="s">
        <v>845</v>
      </c>
      <c r="F268" s="13">
        <v>1</v>
      </c>
      <c r="G268" s="1" t="s">
        <v>846</v>
      </c>
      <c r="H268" s="1">
        <v>1000</v>
      </c>
      <c r="I268" s="1">
        <v>42</v>
      </c>
      <c r="J268" s="14">
        <v>0.115</v>
      </c>
      <c r="K268" s="14">
        <f t="shared" si="4"/>
        <v>0.115</v>
      </c>
      <c r="L268" s="15"/>
      <c r="M268" s="15"/>
    </row>
    <row r="269" spans="1:13" ht="37" customHeight="1" x14ac:dyDescent="0.3">
      <c r="A269" s="73" t="s">
        <v>847</v>
      </c>
      <c r="B269" s="2" t="s">
        <v>848</v>
      </c>
      <c r="C269" s="2"/>
      <c r="D269" s="2"/>
      <c r="E269" s="2"/>
      <c r="F269" s="13">
        <v>1</v>
      </c>
      <c r="G269" s="1" t="s">
        <v>849</v>
      </c>
      <c r="H269" s="1">
        <v>1000</v>
      </c>
      <c r="I269" s="1">
        <v>35</v>
      </c>
      <c r="J269" s="14"/>
      <c r="K269" s="14"/>
      <c r="L269" s="15"/>
      <c r="M269" s="15" t="s">
        <v>850</v>
      </c>
    </row>
    <row r="270" spans="1:13" ht="37" customHeight="1" x14ac:dyDescent="0.3">
      <c r="A270" s="1" t="s">
        <v>851</v>
      </c>
      <c r="B270" s="2" t="s">
        <v>852</v>
      </c>
      <c r="C270" s="2"/>
      <c r="D270" s="2"/>
      <c r="E270" s="2"/>
      <c r="F270" s="13">
        <v>1</v>
      </c>
      <c r="G270" s="1"/>
      <c r="H270" s="1"/>
      <c r="I270" s="1"/>
      <c r="J270" s="14">
        <v>3.88</v>
      </c>
      <c r="K270" s="14">
        <f t="shared" si="4"/>
        <v>3.88</v>
      </c>
      <c r="L270" s="70">
        <v>0.27710000000000001</v>
      </c>
      <c r="M270" s="15" t="s">
        <v>753</v>
      </c>
    </row>
    <row r="271" spans="1:13" ht="37" customHeight="1" x14ac:dyDescent="0.3">
      <c r="J271" s="29" t="s">
        <v>853</v>
      </c>
      <c r="K271" s="30">
        <f>SUM(K3:K270)</f>
        <v>33.111296000000003</v>
      </c>
      <c r="L271" s="12">
        <f>SUM(L3:L270)</f>
        <v>6.9539</v>
      </c>
    </row>
  </sheetData>
  <sheetProtection formatCells="0" formatColumns="0" formatRows="0" insertColumns="0" insertRows="0" insertHyperlinks="0" deleteColumns="0" deleteRows="0" sort="0" autoFilter="0" pivotTables="0"/>
  <autoFilter ref="A2:L271" xr:uid="{00000000-0009-0000-0000-000002000000}"/>
  <mergeCells count="1">
    <mergeCell ref="A1:F1"/>
  </mergeCells>
  <phoneticPr fontId="2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0"/>
  <sheetViews>
    <sheetView tabSelected="1" zoomScale="80" zoomScaleNormal="80" workbookViewId="0">
      <pane ySplit="2" topLeftCell="A283" activePane="bottomLeft" state="frozen"/>
      <selection pane="bottomLeft" activeCell="F2" sqref="F1:F1048576"/>
    </sheetView>
  </sheetViews>
  <sheetFormatPr defaultColWidth="8.5" defaultRowHeight="37" customHeight="1" x14ac:dyDescent="0.3"/>
  <cols>
    <col min="1" max="1" width="12.5703125" style="5" customWidth="1"/>
    <col min="2" max="2" width="72.2109375" style="6" customWidth="1"/>
    <col min="3" max="3" width="16.35546875" style="6" customWidth="1"/>
    <col min="4" max="4" width="8.140625" style="6" customWidth="1"/>
    <col min="5" max="5" width="7.640625" style="6" customWidth="1"/>
    <col min="6" max="6" width="7.7109375" style="7" customWidth="1"/>
    <col min="7" max="9" width="8.0703125" style="7" customWidth="1"/>
    <col min="10" max="11" width="12.640625" style="7" customWidth="1"/>
    <col min="12" max="12" width="32.140625" style="5" customWidth="1"/>
    <col min="13" max="13" width="49.92578125" style="5" customWidth="1"/>
    <col min="14" max="16384" width="8.5" style="5"/>
  </cols>
  <sheetData>
    <row r="1" spans="1:13" ht="37.5" customHeight="1" x14ac:dyDescent="0.3">
      <c r="A1" s="75" t="s">
        <v>854</v>
      </c>
      <c r="B1" s="75"/>
      <c r="C1" s="75"/>
      <c r="D1" s="75"/>
      <c r="E1" s="75"/>
      <c r="F1" s="75"/>
    </row>
    <row r="2" spans="1:13" ht="37" customHeight="1" x14ac:dyDescent="0.3">
      <c r="A2" s="34" t="s">
        <v>3</v>
      </c>
      <c r="B2" s="35" t="s">
        <v>0</v>
      </c>
      <c r="C2" s="35" t="s">
        <v>4</v>
      </c>
      <c r="D2" s="35" t="s">
        <v>5</v>
      </c>
      <c r="E2" s="35" t="s">
        <v>6</v>
      </c>
      <c r="F2" s="34" t="s">
        <v>7</v>
      </c>
      <c r="G2" s="10" t="s">
        <v>8</v>
      </c>
      <c r="H2" s="10" t="s">
        <v>9</v>
      </c>
      <c r="I2" s="10" t="s">
        <v>10</v>
      </c>
      <c r="J2" s="11" t="s">
        <v>11</v>
      </c>
      <c r="K2" s="10" t="s">
        <v>12</v>
      </c>
      <c r="L2" s="12" t="s">
        <v>1</v>
      </c>
      <c r="M2" s="12" t="s">
        <v>14</v>
      </c>
    </row>
    <row r="3" spans="1:13" ht="37" customHeight="1" x14ac:dyDescent="0.3">
      <c r="A3" s="1"/>
      <c r="B3" s="2" t="s">
        <v>15</v>
      </c>
      <c r="C3" s="2" t="s">
        <v>16</v>
      </c>
      <c r="D3" s="2" t="s">
        <v>17</v>
      </c>
      <c r="E3" s="2" t="s">
        <v>18</v>
      </c>
      <c r="F3" s="13">
        <v>0</v>
      </c>
      <c r="G3" s="1"/>
      <c r="H3" s="1"/>
      <c r="I3" s="1"/>
      <c r="J3" s="14"/>
      <c r="K3" s="14">
        <f>J3*F3</f>
        <v>0</v>
      </c>
      <c r="L3" s="15"/>
      <c r="M3" s="15"/>
    </row>
    <row r="4" spans="1:13" ht="37" customHeight="1" x14ac:dyDescent="0.3">
      <c r="A4" s="1"/>
      <c r="B4" s="2" t="s">
        <v>19</v>
      </c>
      <c r="C4" s="2" t="s">
        <v>20</v>
      </c>
      <c r="D4" s="2" t="s">
        <v>21</v>
      </c>
      <c r="E4" s="2" t="s">
        <v>22</v>
      </c>
      <c r="F4" s="13">
        <v>6</v>
      </c>
      <c r="G4" s="1"/>
      <c r="H4" s="1"/>
      <c r="I4" s="1"/>
      <c r="J4" s="14">
        <v>8.0000000000000004E-4</v>
      </c>
      <c r="K4" s="14">
        <f>J4*F4</f>
        <v>4.8000000000000004E-3</v>
      </c>
      <c r="L4" s="15"/>
      <c r="M4" s="15"/>
    </row>
    <row r="5" spans="1:13" s="4" customFormat="1" ht="37" customHeight="1" x14ac:dyDescent="0.3">
      <c r="A5" s="24"/>
      <c r="B5" s="22" t="s">
        <v>23</v>
      </c>
      <c r="C5" s="22" t="s">
        <v>24</v>
      </c>
      <c r="D5" s="22" t="s">
        <v>17</v>
      </c>
      <c r="E5" s="22" t="s">
        <v>25</v>
      </c>
      <c r="F5" s="23">
        <v>2</v>
      </c>
      <c r="G5" s="24"/>
      <c r="H5" s="24"/>
      <c r="I5" s="24"/>
      <c r="J5" s="25">
        <v>8.0000000000000004E-4</v>
      </c>
      <c r="K5" s="25">
        <v>0</v>
      </c>
      <c r="L5" s="36" t="s">
        <v>855</v>
      </c>
      <c r="M5" s="26"/>
    </row>
    <row r="6" spans="1:13" ht="37" customHeight="1" x14ac:dyDescent="0.3">
      <c r="A6" s="1"/>
      <c r="B6" s="2" t="s">
        <v>26</v>
      </c>
      <c r="C6" s="2" t="s">
        <v>27</v>
      </c>
      <c r="D6" s="2" t="s">
        <v>17</v>
      </c>
      <c r="E6" s="2" t="s">
        <v>28</v>
      </c>
      <c r="F6" s="13">
        <v>2</v>
      </c>
      <c r="G6" s="1"/>
      <c r="H6" s="1"/>
      <c r="I6" s="1"/>
      <c r="J6" s="14">
        <v>8.0000000000000004E-4</v>
      </c>
      <c r="K6" s="14">
        <f t="shared" ref="K6:K67" si="0">J6*F6</f>
        <v>1.6000000000000001E-3</v>
      </c>
      <c r="L6" s="15"/>
      <c r="M6" s="15"/>
    </row>
    <row r="7" spans="1:13" ht="37" customHeight="1" x14ac:dyDescent="0.3">
      <c r="A7" s="1"/>
      <c r="B7" s="2" t="s">
        <v>29</v>
      </c>
      <c r="C7" s="2" t="s">
        <v>30</v>
      </c>
      <c r="D7" s="2" t="s">
        <v>17</v>
      </c>
      <c r="E7" s="2" t="s">
        <v>31</v>
      </c>
      <c r="F7" s="13">
        <v>2</v>
      </c>
      <c r="G7" s="1"/>
      <c r="H7" s="1"/>
      <c r="I7" s="1"/>
      <c r="J7" s="14">
        <v>8.0000000000000004E-4</v>
      </c>
      <c r="K7" s="14">
        <f t="shared" si="0"/>
        <v>1.6000000000000001E-3</v>
      </c>
      <c r="L7" s="15"/>
      <c r="M7" s="15"/>
    </row>
    <row r="8" spans="1:13" ht="37" customHeight="1" x14ac:dyDescent="0.3">
      <c r="A8" s="1"/>
      <c r="B8" s="2" t="s">
        <v>32</v>
      </c>
      <c r="C8" s="2" t="s">
        <v>33</v>
      </c>
      <c r="D8" s="2" t="s">
        <v>17</v>
      </c>
      <c r="E8" s="2" t="s">
        <v>34</v>
      </c>
      <c r="F8" s="13">
        <v>2</v>
      </c>
      <c r="G8" s="1"/>
      <c r="H8" s="1"/>
      <c r="I8" s="1"/>
      <c r="J8" s="14">
        <v>8.0000000000000004E-4</v>
      </c>
      <c r="K8" s="14">
        <f t="shared" si="0"/>
        <v>1.6000000000000001E-3</v>
      </c>
      <c r="L8" s="15"/>
      <c r="M8" s="15"/>
    </row>
    <row r="9" spans="1:13" ht="37" customHeight="1" x14ac:dyDescent="0.3">
      <c r="A9" s="1"/>
      <c r="B9" s="2" t="s">
        <v>35</v>
      </c>
      <c r="C9" s="2" t="s">
        <v>36</v>
      </c>
      <c r="D9" s="2" t="s">
        <v>17</v>
      </c>
      <c r="E9" s="2" t="s">
        <v>37</v>
      </c>
      <c r="F9" s="13">
        <v>2</v>
      </c>
      <c r="G9" s="1"/>
      <c r="H9" s="1"/>
      <c r="I9" s="1"/>
      <c r="J9" s="14">
        <v>8.0000000000000004E-4</v>
      </c>
      <c r="K9" s="14">
        <f t="shared" si="0"/>
        <v>1.6000000000000001E-3</v>
      </c>
      <c r="L9" s="15"/>
      <c r="M9" s="15"/>
    </row>
    <row r="10" spans="1:13" ht="37" customHeight="1" x14ac:dyDescent="0.3">
      <c r="A10" s="1"/>
      <c r="B10" s="2" t="s">
        <v>38</v>
      </c>
      <c r="C10" s="2" t="s">
        <v>39</v>
      </c>
      <c r="D10" s="2" t="s">
        <v>17</v>
      </c>
      <c r="E10" s="2" t="s">
        <v>40</v>
      </c>
      <c r="F10" s="13">
        <v>4</v>
      </c>
      <c r="G10" s="1"/>
      <c r="H10" s="1"/>
      <c r="I10" s="1"/>
      <c r="J10" s="14">
        <v>8.0000000000000004E-4</v>
      </c>
      <c r="K10" s="14">
        <f t="shared" si="0"/>
        <v>3.2000000000000002E-3</v>
      </c>
      <c r="L10" s="15"/>
      <c r="M10" s="15"/>
    </row>
    <row r="11" spans="1:13" ht="37" customHeight="1" x14ac:dyDescent="0.3">
      <c r="A11" s="1"/>
      <c r="B11" s="2" t="s">
        <v>41</v>
      </c>
      <c r="C11" s="2" t="s">
        <v>42</v>
      </c>
      <c r="D11" s="2" t="s">
        <v>17</v>
      </c>
      <c r="E11" s="2" t="s">
        <v>43</v>
      </c>
      <c r="F11" s="13">
        <v>2</v>
      </c>
      <c r="G11" s="1"/>
      <c r="H11" s="1"/>
      <c r="I11" s="1"/>
      <c r="J11" s="14">
        <v>8.0000000000000004E-4</v>
      </c>
      <c r="K11" s="14">
        <f t="shared" si="0"/>
        <v>1.6000000000000001E-3</v>
      </c>
      <c r="L11" s="15"/>
      <c r="M11" s="15"/>
    </row>
    <row r="12" spans="1:13" ht="37" customHeight="1" x14ac:dyDescent="0.3">
      <c r="A12" s="1"/>
      <c r="B12" s="2" t="s">
        <v>44</v>
      </c>
      <c r="C12" s="2" t="s">
        <v>45</v>
      </c>
      <c r="D12" s="2" t="s">
        <v>17</v>
      </c>
      <c r="E12" s="2" t="s">
        <v>46</v>
      </c>
      <c r="F12" s="13">
        <v>2</v>
      </c>
      <c r="G12" s="1"/>
      <c r="H12" s="1"/>
      <c r="I12" s="1"/>
      <c r="J12" s="14">
        <v>8.0000000000000004E-4</v>
      </c>
      <c r="K12" s="14">
        <f t="shared" si="0"/>
        <v>1.6000000000000001E-3</v>
      </c>
      <c r="L12" s="15"/>
      <c r="M12" s="15"/>
    </row>
    <row r="13" spans="1:13" ht="37" customHeight="1" x14ac:dyDescent="0.3">
      <c r="A13" s="1"/>
      <c r="B13" s="2" t="s">
        <v>44</v>
      </c>
      <c r="C13" s="2" t="s">
        <v>45</v>
      </c>
      <c r="D13" s="2" t="s">
        <v>21</v>
      </c>
      <c r="E13" s="2" t="s">
        <v>47</v>
      </c>
      <c r="F13" s="13">
        <v>6</v>
      </c>
      <c r="G13" s="1"/>
      <c r="H13" s="1"/>
      <c r="I13" s="1"/>
      <c r="J13" s="14">
        <v>8.0000000000000004E-4</v>
      </c>
      <c r="K13" s="14">
        <f t="shared" si="0"/>
        <v>4.8000000000000004E-3</v>
      </c>
      <c r="L13" s="15"/>
      <c r="M13" s="15"/>
    </row>
    <row r="14" spans="1:13" ht="37" customHeight="1" x14ac:dyDescent="0.3">
      <c r="A14" s="1"/>
      <c r="B14" s="2" t="s">
        <v>48</v>
      </c>
      <c r="C14" s="2" t="s">
        <v>49</v>
      </c>
      <c r="D14" s="2" t="s">
        <v>17</v>
      </c>
      <c r="E14" s="2" t="s">
        <v>50</v>
      </c>
      <c r="F14" s="13">
        <v>2</v>
      </c>
      <c r="G14" s="1"/>
      <c r="H14" s="1"/>
      <c r="I14" s="1"/>
      <c r="J14" s="14">
        <v>8.0000000000000004E-4</v>
      </c>
      <c r="K14" s="14">
        <f t="shared" si="0"/>
        <v>1.6000000000000001E-3</v>
      </c>
      <c r="L14" s="15"/>
      <c r="M14" s="15"/>
    </row>
    <row r="15" spans="1:13" ht="37" customHeight="1" x14ac:dyDescent="0.3">
      <c r="A15" s="1"/>
      <c r="B15" s="2" t="s">
        <v>51</v>
      </c>
      <c r="C15" s="2" t="s">
        <v>52</v>
      </c>
      <c r="D15" s="2" t="s">
        <v>17</v>
      </c>
      <c r="E15" s="2" t="s">
        <v>53</v>
      </c>
      <c r="F15" s="13">
        <v>2</v>
      </c>
      <c r="G15" s="1"/>
      <c r="H15" s="1"/>
      <c r="I15" s="1"/>
      <c r="J15" s="14">
        <v>8.0000000000000004E-4</v>
      </c>
      <c r="K15" s="14">
        <f t="shared" si="0"/>
        <v>1.6000000000000001E-3</v>
      </c>
      <c r="L15" s="15"/>
      <c r="M15" s="15"/>
    </row>
    <row r="16" spans="1:13" ht="37" customHeight="1" x14ac:dyDescent="0.3">
      <c r="A16" s="1"/>
      <c r="B16" s="2" t="s">
        <v>54</v>
      </c>
      <c r="C16" s="2" t="s">
        <v>55</v>
      </c>
      <c r="D16" s="2" t="s">
        <v>17</v>
      </c>
      <c r="E16" s="2" t="s">
        <v>56</v>
      </c>
      <c r="F16" s="13">
        <v>1</v>
      </c>
      <c r="G16" s="1"/>
      <c r="H16" s="1"/>
      <c r="I16" s="1"/>
      <c r="J16" s="14">
        <v>8.0000000000000004E-4</v>
      </c>
      <c r="K16" s="14">
        <f t="shared" si="0"/>
        <v>8.0000000000000004E-4</v>
      </c>
      <c r="L16" s="15"/>
      <c r="M16" s="15"/>
    </row>
    <row r="17" spans="1:13" ht="37" customHeight="1" x14ac:dyDescent="0.3">
      <c r="A17" s="1"/>
      <c r="B17" s="2" t="s">
        <v>57</v>
      </c>
      <c r="C17" s="2" t="s">
        <v>58</v>
      </c>
      <c r="D17" s="2" t="s">
        <v>17</v>
      </c>
      <c r="E17" s="2" t="s">
        <v>59</v>
      </c>
      <c r="F17" s="13">
        <v>2</v>
      </c>
      <c r="G17" s="1"/>
      <c r="H17" s="1"/>
      <c r="I17" s="1"/>
      <c r="J17" s="14">
        <v>8.0000000000000004E-4</v>
      </c>
      <c r="K17" s="14">
        <f t="shared" si="0"/>
        <v>1.6000000000000001E-3</v>
      </c>
      <c r="L17" s="15"/>
      <c r="M17" s="15"/>
    </row>
    <row r="18" spans="1:13" ht="37" customHeight="1" x14ac:dyDescent="0.3">
      <c r="A18" s="1"/>
      <c r="B18" s="2" t="s">
        <v>60</v>
      </c>
      <c r="C18" s="2" t="s">
        <v>61</v>
      </c>
      <c r="D18" s="2" t="s">
        <v>17</v>
      </c>
      <c r="E18" s="2" t="s">
        <v>62</v>
      </c>
      <c r="F18" s="13">
        <v>2</v>
      </c>
      <c r="G18" s="1"/>
      <c r="H18" s="1"/>
      <c r="I18" s="1"/>
      <c r="J18" s="14">
        <v>8.0000000000000004E-4</v>
      </c>
      <c r="K18" s="14">
        <f t="shared" si="0"/>
        <v>1.6000000000000001E-3</v>
      </c>
      <c r="L18" s="15"/>
      <c r="M18" s="15"/>
    </row>
    <row r="19" spans="1:13" ht="37" customHeight="1" x14ac:dyDescent="0.3">
      <c r="A19" s="1"/>
      <c r="B19" s="2" t="s">
        <v>60</v>
      </c>
      <c r="C19" s="2" t="s">
        <v>61</v>
      </c>
      <c r="D19" s="2" t="s">
        <v>21</v>
      </c>
      <c r="E19" s="2" t="s">
        <v>63</v>
      </c>
      <c r="F19" s="13">
        <v>2</v>
      </c>
      <c r="G19" s="1"/>
      <c r="H19" s="1"/>
      <c r="I19" s="1"/>
      <c r="J19" s="14">
        <v>8.0000000000000004E-4</v>
      </c>
      <c r="K19" s="14">
        <f t="shared" si="0"/>
        <v>1.6000000000000001E-3</v>
      </c>
      <c r="L19" s="15"/>
      <c r="M19" s="15"/>
    </row>
    <row r="20" spans="1:13" ht="37" customHeight="1" x14ac:dyDescent="0.3">
      <c r="A20" s="1"/>
      <c r="B20" s="2" t="s">
        <v>64</v>
      </c>
      <c r="C20" s="2" t="s">
        <v>65</v>
      </c>
      <c r="D20" s="2" t="s">
        <v>17</v>
      </c>
      <c r="E20" s="2" t="s">
        <v>66</v>
      </c>
      <c r="F20" s="13">
        <v>2</v>
      </c>
      <c r="G20" s="1"/>
      <c r="H20" s="1"/>
      <c r="I20" s="1"/>
      <c r="J20" s="14">
        <v>8.0000000000000004E-4</v>
      </c>
      <c r="K20" s="14">
        <f t="shared" si="0"/>
        <v>1.6000000000000001E-3</v>
      </c>
      <c r="L20" s="15"/>
      <c r="M20" s="15"/>
    </row>
    <row r="21" spans="1:13" ht="37" customHeight="1" x14ac:dyDescent="0.3">
      <c r="A21" s="1"/>
      <c r="B21" s="2" t="s">
        <v>67</v>
      </c>
      <c r="C21" s="2" t="s">
        <v>68</v>
      </c>
      <c r="D21" s="2" t="s">
        <v>17</v>
      </c>
      <c r="E21" s="2" t="s">
        <v>69</v>
      </c>
      <c r="F21" s="13">
        <v>2</v>
      </c>
      <c r="G21" s="1"/>
      <c r="H21" s="1"/>
      <c r="I21" s="1"/>
      <c r="J21" s="14">
        <v>8.0000000000000004E-4</v>
      </c>
      <c r="K21" s="14">
        <f t="shared" si="0"/>
        <v>1.6000000000000001E-3</v>
      </c>
      <c r="L21" s="15"/>
      <c r="M21" s="15"/>
    </row>
    <row r="22" spans="1:13" ht="37" customHeight="1" x14ac:dyDescent="0.3">
      <c r="A22" s="1"/>
      <c r="B22" s="2" t="s">
        <v>70</v>
      </c>
      <c r="C22" s="2" t="s">
        <v>71</v>
      </c>
      <c r="D22" s="2" t="s">
        <v>17</v>
      </c>
      <c r="E22" s="2" t="s">
        <v>72</v>
      </c>
      <c r="F22" s="13">
        <v>2</v>
      </c>
      <c r="G22" s="1"/>
      <c r="H22" s="1"/>
      <c r="I22" s="1"/>
      <c r="J22" s="14">
        <v>8.0000000000000004E-4</v>
      </c>
      <c r="K22" s="14">
        <f t="shared" si="0"/>
        <v>1.6000000000000001E-3</v>
      </c>
      <c r="L22" s="15"/>
      <c r="M22" s="15"/>
    </row>
    <row r="23" spans="1:13" ht="37" customHeight="1" x14ac:dyDescent="0.3">
      <c r="A23" s="1"/>
      <c r="B23" s="2" t="s">
        <v>73</v>
      </c>
      <c r="C23" s="2" t="s">
        <v>74</v>
      </c>
      <c r="D23" s="2" t="s">
        <v>17</v>
      </c>
      <c r="E23" s="2" t="s">
        <v>75</v>
      </c>
      <c r="F23" s="13">
        <v>1</v>
      </c>
      <c r="G23" s="1"/>
      <c r="H23" s="1"/>
      <c r="I23" s="1"/>
      <c r="J23" s="14">
        <v>8.0000000000000004E-4</v>
      </c>
      <c r="K23" s="14">
        <f t="shared" si="0"/>
        <v>8.0000000000000004E-4</v>
      </c>
      <c r="L23" s="15"/>
      <c r="M23" s="15"/>
    </row>
    <row r="24" spans="1:13" ht="37" customHeight="1" x14ac:dyDescent="0.3">
      <c r="A24" s="1"/>
      <c r="B24" s="2" t="s">
        <v>76</v>
      </c>
      <c r="C24" s="2" t="s">
        <v>77</v>
      </c>
      <c r="D24" s="2" t="s">
        <v>17</v>
      </c>
      <c r="E24" s="2" t="s">
        <v>78</v>
      </c>
      <c r="F24" s="13">
        <v>2</v>
      </c>
      <c r="G24" s="1"/>
      <c r="H24" s="1"/>
      <c r="I24" s="1"/>
      <c r="J24" s="14">
        <v>8.0000000000000004E-4</v>
      </c>
      <c r="K24" s="14">
        <f t="shared" si="0"/>
        <v>1.6000000000000001E-3</v>
      </c>
      <c r="L24" s="15"/>
      <c r="M24" s="15"/>
    </row>
    <row r="25" spans="1:13" ht="37" customHeight="1" x14ac:dyDescent="0.3">
      <c r="A25" s="1"/>
      <c r="B25" s="2" t="s">
        <v>79</v>
      </c>
      <c r="C25" s="2" t="s">
        <v>80</v>
      </c>
      <c r="D25" s="2" t="s">
        <v>21</v>
      </c>
      <c r="E25" s="2" t="s">
        <v>81</v>
      </c>
      <c r="F25" s="13">
        <v>15</v>
      </c>
      <c r="G25" s="1"/>
      <c r="H25" s="1"/>
      <c r="I25" s="1"/>
      <c r="J25" s="14">
        <v>8.0000000000000004E-4</v>
      </c>
      <c r="K25" s="14">
        <f t="shared" si="0"/>
        <v>1.2E-2</v>
      </c>
      <c r="L25" s="15"/>
      <c r="M25" s="15"/>
    </row>
    <row r="26" spans="1:13" ht="37" customHeight="1" x14ac:dyDescent="0.3">
      <c r="A26" s="1"/>
      <c r="B26" s="2" t="s">
        <v>82</v>
      </c>
      <c r="C26" s="2" t="s">
        <v>20</v>
      </c>
      <c r="D26" s="2" t="s">
        <v>17</v>
      </c>
      <c r="E26" s="2" t="s">
        <v>83</v>
      </c>
      <c r="F26" s="13">
        <v>18</v>
      </c>
      <c r="G26" s="1"/>
      <c r="H26" s="1"/>
      <c r="I26" s="1"/>
      <c r="J26" s="14">
        <v>8.0000000000000004E-4</v>
      </c>
      <c r="K26" s="14">
        <f t="shared" si="0"/>
        <v>1.4400000000000001E-2</v>
      </c>
      <c r="L26" s="15"/>
      <c r="M26" s="15"/>
    </row>
    <row r="27" spans="1:13" ht="37" customHeight="1" x14ac:dyDescent="0.3">
      <c r="A27" s="1"/>
      <c r="B27" s="2" t="s">
        <v>82</v>
      </c>
      <c r="C27" s="2" t="s">
        <v>20</v>
      </c>
      <c r="D27" s="2" t="s">
        <v>21</v>
      </c>
      <c r="E27" s="2" t="s">
        <v>84</v>
      </c>
      <c r="F27" s="13">
        <v>1</v>
      </c>
      <c r="G27" s="1"/>
      <c r="H27" s="1"/>
      <c r="I27" s="1"/>
      <c r="J27" s="14">
        <v>8.0000000000000004E-4</v>
      </c>
      <c r="K27" s="14">
        <f t="shared" si="0"/>
        <v>8.0000000000000004E-4</v>
      </c>
      <c r="L27" s="15"/>
      <c r="M27" s="15"/>
    </row>
    <row r="28" spans="1:13" ht="37" customHeight="1" x14ac:dyDescent="0.3">
      <c r="A28" s="1"/>
      <c r="B28" s="2" t="s">
        <v>85</v>
      </c>
      <c r="C28" s="2" t="s">
        <v>86</v>
      </c>
      <c r="D28" s="2" t="s">
        <v>21</v>
      </c>
      <c r="E28" s="2" t="s">
        <v>87</v>
      </c>
      <c r="F28" s="13">
        <v>2</v>
      </c>
      <c r="G28" s="1"/>
      <c r="H28" s="1"/>
      <c r="I28" s="1"/>
      <c r="J28" s="14">
        <v>8.0000000000000004E-4</v>
      </c>
      <c r="K28" s="14">
        <f t="shared" si="0"/>
        <v>1.6000000000000001E-3</v>
      </c>
      <c r="L28" s="15"/>
      <c r="M28" s="15"/>
    </row>
    <row r="29" spans="1:13" ht="37" customHeight="1" x14ac:dyDescent="0.3">
      <c r="A29" s="1"/>
      <c r="B29" s="2" t="s">
        <v>88</v>
      </c>
      <c r="C29" s="2" t="s">
        <v>86</v>
      </c>
      <c r="D29" s="2" t="s">
        <v>21</v>
      </c>
      <c r="E29" s="2" t="s">
        <v>89</v>
      </c>
      <c r="F29" s="13">
        <v>3</v>
      </c>
      <c r="G29" s="1"/>
      <c r="H29" s="1"/>
      <c r="I29" s="1"/>
      <c r="J29" s="14">
        <v>8.0000000000000004E-4</v>
      </c>
      <c r="K29" s="14">
        <f t="shared" si="0"/>
        <v>2.4000000000000002E-3</v>
      </c>
      <c r="L29" s="15"/>
      <c r="M29" s="15"/>
    </row>
    <row r="30" spans="1:13" ht="37" customHeight="1" x14ac:dyDescent="0.3">
      <c r="A30" s="1"/>
      <c r="B30" s="2" t="s">
        <v>90</v>
      </c>
      <c r="C30" s="2" t="s">
        <v>91</v>
      </c>
      <c r="D30" s="2" t="s">
        <v>21</v>
      </c>
      <c r="E30" s="2" t="s">
        <v>92</v>
      </c>
      <c r="F30" s="13">
        <v>3</v>
      </c>
      <c r="G30" s="1"/>
      <c r="H30" s="1"/>
      <c r="I30" s="1"/>
      <c r="J30" s="14">
        <v>8.0000000000000004E-4</v>
      </c>
      <c r="K30" s="14">
        <f t="shared" si="0"/>
        <v>2.4000000000000002E-3</v>
      </c>
      <c r="L30" s="15"/>
      <c r="M30" s="15"/>
    </row>
    <row r="31" spans="1:13" ht="37" customHeight="1" x14ac:dyDescent="0.3">
      <c r="A31" s="1"/>
      <c r="B31" s="2" t="s">
        <v>93</v>
      </c>
      <c r="C31" s="2" t="s">
        <v>94</v>
      </c>
      <c r="D31" s="2" t="s">
        <v>17</v>
      </c>
      <c r="E31" s="2" t="s">
        <v>95</v>
      </c>
      <c r="F31" s="13">
        <v>2</v>
      </c>
      <c r="G31" s="1"/>
      <c r="H31" s="1"/>
      <c r="I31" s="1"/>
      <c r="J31" s="14">
        <v>8.0000000000000004E-4</v>
      </c>
      <c r="K31" s="14">
        <f t="shared" si="0"/>
        <v>1.6000000000000001E-3</v>
      </c>
      <c r="L31" s="15"/>
      <c r="M31" s="15"/>
    </row>
    <row r="32" spans="1:13" ht="37" customHeight="1" x14ac:dyDescent="0.3">
      <c r="A32" s="1"/>
      <c r="B32" s="2" t="s">
        <v>96</v>
      </c>
      <c r="C32" s="2" t="s">
        <v>97</v>
      </c>
      <c r="D32" s="2" t="s">
        <v>17</v>
      </c>
      <c r="E32" s="2" t="s">
        <v>98</v>
      </c>
      <c r="F32" s="13">
        <v>1</v>
      </c>
      <c r="G32" s="1"/>
      <c r="H32" s="1"/>
      <c r="I32" s="1"/>
      <c r="J32" s="14">
        <v>8.0000000000000004E-4</v>
      </c>
      <c r="K32" s="14">
        <f t="shared" si="0"/>
        <v>8.0000000000000004E-4</v>
      </c>
      <c r="L32" s="15"/>
      <c r="M32" s="15"/>
    </row>
    <row r="33" spans="1:13" ht="37" customHeight="1" x14ac:dyDescent="0.3">
      <c r="A33" s="1"/>
      <c r="B33" s="2" t="s">
        <v>99</v>
      </c>
      <c r="C33" s="2" t="s">
        <v>100</v>
      </c>
      <c r="D33" s="2" t="s">
        <v>17</v>
      </c>
      <c r="E33" s="2" t="s">
        <v>101</v>
      </c>
      <c r="F33" s="13">
        <v>8</v>
      </c>
      <c r="G33" s="1"/>
      <c r="H33" s="1"/>
      <c r="I33" s="1"/>
      <c r="J33" s="14">
        <v>8.0000000000000004E-4</v>
      </c>
      <c r="K33" s="14">
        <f t="shared" si="0"/>
        <v>6.4000000000000003E-3</v>
      </c>
      <c r="L33" s="15"/>
      <c r="M33" s="15"/>
    </row>
    <row r="34" spans="1:13" ht="37" customHeight="1" x14ac:dyDescent="0.3">
      <c r="A34" s="1"/>
      <c r="B34" s="2" t="s">
        <v>99</v>
      </c>
      <c r="C34" s="2" t="s">
        <v>100</v>
      </c>
      <c r="D34" s="2" t="s">
        <v>21</v>
      </c>
      <c r="E34" s="2" t="s">
        <v>102</v>
      </c>
      <c r="F34" s="13">
        <v>1</v>
      </c>
      <c r="G34" s="1"/>
      <c r="H34" s="1"/>
      <c r="I34" s="1"/>
      <c r="J34" s="14">
        <v>8.0000000000000004E-4</v>
      </c>
      <c r="K34" s="14">
        <f t="shared" si="0"/>
        <v>8.0000000000000004E-4</v>
      </c>
      <c r="L34" s="15"/>
      <c r="M34" s="15"/>
    </row>
    <row r="35" spans="1:13" ht="37" customHeight="1" x14ac:dyDescent="0.3">
      <c r="A35" s="1"/>
      <c r="B35" s="2" t="s">
        <v>103</v>
      </c>
      <c r="C35" s="2" t="s">
        <v>104</v>
      </c>
      <c r="D35" s="2" t="s">
        <v>17</v>
      </c>
      <c r="E35" s="2" t="s">
        <v>105</v>
      </c>
      <c r="F35" s="13">
        <v>2</v>
      </c>
      <c r="G35" s="1"/>
      <c r="H35" s="1"/>
      <c r="I35" s="1"/>
      <c r="J35" s="14">
        <v>8.0000000000000004E-4</v>
      </c>
      <c r="K35" s="14">
        <f t="shared" si="0"/>
        <v>1.6000000000000001E-3</v>
      </c>
      <c r="L35" s="15"/>
      <c r="M35" s="15"/>
    </row>
    <row r="36" spans="1:13" ht="37" customHeight="1" x14ac:dyDescent="0.3">
      <c r="A36" s="1"/>
      <c r="B36" s="2" t="s">
        <v>106</v>
      </c>
      <c r="C36" s="2" t="s">
        <v>39</v>
      </c>
      <c r="D36" s="2" t="s">
        <v>17</v>
      </c>
      <c r="E36" s="2" t="s">
        <v>107</v>
      </c>
      <c r="F36" s="13">
        <v>2</v>
      </c>
      <c r="G36" s="1"/>
      <c r="H36" s="1"/>
      <c r="I36" s="1"/>
      <c r="J36" s="14">
        <v>8.0000000000000004E-4</v>
      </c>
      <c r="K36" s="14">
        <f t="shared" si="0"/>
        <v>1.6000000000000001E-3</v>
      </c>
      <c r="L36" s="15"/>
      <c r="M36" s="15"/>
    </row>
    <row r="37" spans="1:13" ht="37" customHeight="1" x14ac:dyDescent="0.3">
      <c r="A37" s="1"/>
      <c r="B37" s="2" t="s">
        <v>108</v>
      </c>
      <c r="C37" s="2" t="s">
        <v>109</v>
      </c>
      <c r="D37" s="2" t="s">
        <v>21</v>
      </c>
      <c r="E37" s="2" t="s">
        <v>110</v>
      </c>
      <c r="F37" s="13">
        <v>4</v>
      </c>
      <c r="G37" s="1"/>
      <c r="H37" s="1"/>
      <c r="I37" s="1"/>
      <c r="J37" s="14">
        <v>8.0000000000000004E-4</v>
      </c>
      <c r="K37" s="14">
        <f t="shared" si="0"/>
        <v>3.2000000000000002E-3</v>
      </c>
      <c r="L37" s="15"/>
      <c r="M37" s="15"/>
    </row>
    <row r="38" spans="1:13" ht="37" customHeight="1" x14ac:dyDescent="0.3">
      <c r="A38" s="1"/>
      <c r="B38" s="2" t="s">
        <v>111</v>
      </c>
      <c r="C38" s="2" t="s">
        <v>112</v>
      </c>
      <c r="D38" s="2" t="s">
        <v>21</v>
      </c>
      <c r="E38" s="2" t="s">
        <v>113</v>
      </c>
      <c r="F38" s="13">
        <v>2</v>
      </c>
      <c r="G38" s="1"/>
      <c r="H38" s="1"/>
      <c r="I38" s="1"/>
      <c r="J38" s="14">
        <v>8.0000000000000004E-4</v>
      </c>
      <c r="K38" s="14">
        <f t="shared" si="0"/>
        <v>1.6000000000000001E-3</v>
      </c>
      <c r="L38" s="15"/>
      <c r="M38" s="15"/>
    </row>
    <row r="39" spans="1:13" ht="37" customHeight="1" x14ac:dyDescent="0.3">
      <c r="A39" s="1"/>
      <c r="B39" s="2" t="s">
        <v>114</v>
      </c>
      <c r="C39" s="2" t="s">
        <v>115</v>
      </c>
      <c r="D39" s="2" t="s">
        <v>17</v>
      </c>
      <c r="E39" s="2" t="s">
        <v>116</v>
      </c>
      <c r="F39" s="13">
        <v>10</v>
      </c>
      <c r="G39" s="1"/>
      <c r="H39" s="1"/>
      <c r="I39" s="1"/>
      <c r="J39" s="14">
        <v>8.0000000000000004E-4</v>
      </c>
      <c r="K39" s="14">
        <f t="shared" si="0"/>
        <v>8.0000000000000002E-3</v>
      </c>
      <c r="L39" s="15"/>
      <c r="M39" s="15"/>
    </row>
    <row r="40" spans="1:13" ht="37" customHeight="1" x14ac:dyDescent="0.3">
      <c r="A40" s="1"/>
      <c r="B40" s="2" t="s">
        <v>117</v>
      </c>
      <c r="C40" s="2" t="s">
        <v>118</v>
      </c>
      <c r="D40" s="2" t="s">
        <v>21</v>
      </c>
      <c r="E40" s="2" t="s">
        <v>119</v>
      </c>
      <c r="F40" s="13">
        <v>20</v>
      </c>
      <c r="G40" s="1"/>
      <c r="H40" s="1"/>
      <c r="I40" s="1"/>
      <c r="J40" s="14">
        <v>8.0000000000000004E-4</v>
      </c>
      <c r="K40" s="14">
        <f t="shared" si="0"/>
        <v>1.6E-2</v>
      </c>
      <c r="L40" s="15"/>
      <c r="M40" s="15"/>
    </row>
    <row r="41" spans="1:13" ht="37" customHeight="1" x14ac:dyDescent="0.3">
      <c r="A41" s="1"/>
      <c r="B41" s="2" t="s">
        <v>117</v>
      </c>
      <c r="C41" s="2" t="s">
        <v>120</v>
      </c>
      <c r="D41" s="2" t="s">
        <v>21</v>
      </c>
      <c r="E41" s="2" t="s">
        <v>121</v>
      </c>
      <c r="F41" s="13">
        <v>0</v>
      </c>
      <c r="G41" s="1"/>
      <c r="H41" s="1"/>
      <c r="I41" s="1"/>
      <c r="J41" s="14"/>
      <c r="K41" s="14">
        <f t="shared" si="0"/>
        <v>0</v>
      </c>
      <c r="L41" s="15"/>
      <c r="M41" s="15"/>
    </row>
    <row r="42" spans="1:13" ht="37" customHeight="1" x14ac:dyDescent="0.3">
      <c r="A42" s="1"/>
      <c r="B42" s="2" t="s">
        <v>122</v>
      </c>
      <c r="C42" s="2" t="s">
        <v>45</v>
      </c>
      <c r="D42" s="2" t="s">
        <v>17</v>
      </c>
      <c r="E42" s="2" t="s">
        <v>123</v>
      </c>
      <c r="F42" s="13">
        <v>4</v>
      </c>
      <c r="G42" s="1"/>
      <c r="H42" s="1"/>
      <c r="I42" s="1"/>
      <c r="J42" s="14">
        <v>8.0000000000000004E-4</v>
      </c>
      <c r="K42" s="14">
        <f t="shared" si="0"/>
        <v>3.2000000000000002E-3</v>
      </c>
      <c r="L42" s="15"/>
      <c r="M42" s="15"/>
    </row>
    <row r="43" spans="1:13" ht="37" customHeight="1" x14ac:dyDescent="0.3">
      <c r="A43" s="1"/>
      <c r="B43" s="2" t="s">
        <v>124</v>
      </c>
      <c r="C43" s="2" t="s">
        <v>118</v>
      </c>
      <c r="D43" s="2" t="s">
        <v>17</v>
      </c>
      <c r="E43" s="2" t="s">
        <v>125</v>
      </c>
      <c r="F43" s="13">
        <v>2</v>
      </c>
      <c r="G43" s="1"/>
      <c r="H43" s="1"/>
      <c r="I43" s="1"/>
      <c r="J43" s="14">
        <v>8.0000000000000004E-4</v>
      </c>
      <c r="K43" s="14">
        <f t="shared" si="0"/>
        <v>1.6000000000000001E-3</v>
      </c>
      <c r="L43" s="15"/>
      <c r="M43" s="15"/>
    </row>
    <row r="44" spans="1:13" ht="37" customHeight="1" x14ac:dyDescent="0.3">
      <c r="A44" s="1"/>
      <c r="B44" s="2" t="s">
        <v>126</v>
      </c>
      <c r="C44" s="2" t="s">
        <v>127</v>
      </c>
      <c r="D44" s="2" t="s">
        <v>17</v>
      </c>
      <c r="E44" s="2" t="s">
        <v>128</v>
      </c>
      <c r="F44" s="13">
        <v>4</v>
      </c>
      <c r="G44" s="1"/>
      <c r="H44" s="1"/>
      <c r="I44" s="1"/>
      <c r="J44" s="14">
        <v>8.0000000000000004E-4</v>
      </c>
      <c r="K44" s="14">
        <f t="shared" si="0"/>
        <v>3.2000000000000002E-3</v>
      </c>
      <c r="L44" s="15"/>
      <c r="M44" s="15"/>
    </row>
    <row r="45" spans="1:13" ht="37" customHeight="1" x14ac:dyDescent="0.3">
      <c r="A45" s="1"/>
      <c r="B45" s="2" t="s">
        <v>129</v>
      </c>
      <c r="C45" s="2" t="s">
        <v>130</v>
      </c>
      <c r="D45" s="2" t="s">
        <v>17</v>
      </c>
      <c r="E45" s="2" t="s">
        <v>131</v>
      </c>
      <c r="F45" s="13">
        <v>2</v>
      </c>
      <c r="G45" s="1"/>
      <c r="H45" s="1"/>
      <c r="I45" s="1"/>
      <c r="J45" s="14">
        <v>8.0000000000000004E-4</v>
      </c>
      <c r="K45" s="14">
        <f t="shared" si="0"/>
        <v>1.6000000000000001E-3</v>
      </c>
      <c r="L45" s="15"/>
      <c r="M45" s="15"/>
    </row>
    <row r="46" spans="1:13" ht="37" customHeight="1" x14ac:dyDescent="0.3">
      <c r="A46" s="1"/>
      <c r="B46" s="2" t="s">
        <v>132</v>
      </c>
      <c r="C46" s="2" t="s">
        <v>133</v>
      </c>
      <c r="D46" s="2" t="s">
        <v>21</v>
      </c>
      <c r="E46" s="2" t="s">
        <v>134</v>
      </c>
      <c r="F46" s="13">
        <v>4</v>
      </c>
      <c r="G46" s="1"/>
      <c r="H46" s="1"/>
      <c r="I46" s="1"/>
      <c r="J46" s="14">
        <v>8.0000000000000004E-4</v>
      </c>
      <c r="K46" s="14">
        <f t="shared" si="0"/>
        <v>3.2000000000000002E-3</v>
      </c>
      <c r="L46" s="15"/>
      <c r="M46" s="15"/>
    </row>
    <row r="47" spans="1:13" ht="37" customHeight="1" x14ac:dyDescent="0.3">
      <c r="A47" s="1"/>
      <c r="B47" s="2" t="s">
        <v>132</v>
      </c>
      <c r="C47" s="2" t="s">
        <v>135</v>
      </c>
      <c r="D47" s="2" t="s">
        <v>21</v>
      </c>
      <c r="E47" s="2" t="s">
        <v>136</v>
      </c>
      <c r="F47" s="13">
        <v>30</v>
      </c>
      <c r="G47" s="1"/>
      <c r="H47" s="1"/>
      <c r="I47" s="1"/>
      <c r="J47" s="14">
        <v>8.0000000000000004E-4</v>
      </c>
      <c r="K47" s="14">
        <f t="shared" si="0"/>
        <v>2.4E-2</v>
      </c>
      <c r="L47" s="15"/>
      <c r="M47" s="15"/>
    </row>
    <row r="48" spans="1:13" ht="37" customHeight="1" x14ac:dyDescent="0.3">
      <c r="A48" s="1"/>
      <c r="B48" s="2" t="s">
        <v>137</v>
      </c>
      <c r="C48" s="2" t="s">
        <v>138</v>
      </c>
      <c r="D48" s="2" t="s">
        <v>17</v>
      </c>
      <c r="E48" s="2" t="s">
        <v>139</v>
      </c>
      <c r="F48" s="13">
        <v>4</v>
      </c>
      <c r="G48" s="1"/>
      <c r="H48" s="1"/>
      <c r="I48" s="1"/>
      <c r="J48" s="14">
        <v>8.0000000000000004E-4</v>
      </c>
      <c r="K48" s="14">
        <f t="shared" si="0"/>
        <v>3.2000000000000002E-3</v>
      </c>
      <c r="L48" s="15"/>
      <c r="M48" s="15"/>
    </row>
    <row r="49" spans="1:13" ht="37" customHeight="1" x14ac:dyDescent="0.3">
      <c r="A49" s="1"/>
      <c r="B49" s="2" t="s">
        <v>140</v>
      </c>
      <c r="C49" s="2" t="s">
        <v>141</v>
      </c>
      <c r="D49" s="2" t="s">
        <v>17</v>
      </c>
      <c r="E49" s="2" t="s">
        <v>142</v>
      </c>
      <c r="F49" s="13">
        <v>2</v>
      </c>
      <c r="G49" s="1"/>
      <c r="H49" s="1"/>
      <c r="I49" s="1"/>
      <c r="J49" s="14">
        <v>8.0000000000000004E-4</v>
      </c>
      <c r="K49" s="14">
        <f t="shared" si="0"/>
        <v>1.6000000000000001E-3</v>
      </c>
      <c r="L49" s="15"/>
      <c r="M49" s="15"/>
    </row>
    <row r="50" spans="1:13" ht="37" customHeight="1" x14ac:dyDescent="0.3">
      <c r="A50" s="1"/>
      <c r="B50" s="2" t="s">
        <v>143</v>
      </c>
      <c r="C50" s="2" t="s">
        <v>144</v>
      </c>
      <c r="D50" s="2" t="s">
        <v>17</v>
      </c>
      <c r="E50" s="2" t="s">
        <v>145</v>
      </c>
      <c r="F50" s="13">
        <v>1</v>
      </c>
      <c r="G50" s="1"/>
      <c r="H50" s="1"/>
      <c r="I50" s="1"/>
      <c r="J50" s="14">
        <v>8.0000000000000004E-4</v>
      </c>
      <c r="K50" s="14">
        <f t="shared" si="0"/>
        <v>8.0000000000000004E-4</v>
      </c>
      <c r="L50" s="15"/>
      <c r="M50" s="15"/>
    </row>
    <row r="51" spans="1:13" ht="37" customHeight="1" x14ac:dyDescent="0.3">
      <c r="A51" s="1"/>
      <c r="B51" s="2" t="s">
        <v>146</v>
      </c>
      <c r="C51" s="2" t="s">
        <v>147</v>
      </c>
      <c r="D51" s="2" t="s">
        <v>17</v>
      </c>
      <c r="E51" s="2" t="s">
        <v>148</v>
      </c>
      <c r="F51" s="13">
        <v>1</v>
      </c>
      <c r="G51" s="1"/>
      <c r="H51" s="1"/>
      <c r="I51" s="1"/>
      <c r="J51" s="14">
        <v>8.0000000000000004E-4</v>
      </c>
      <c r="K51" s="14">
        <f t="shared" si="0"/>
        <v>8.0000000000000004E-4</v>
      </c>
      <c r="L51" s="15"/>
      <c r="M51" s="15"/>
    </row>
    <row r="52" spans="1:13" ht="37" customHeight="1" x14ac:dyDescent="0.3">
      <c r="A52" s="1"/>
      <c r="B52" s="2" t="s">
        <v>149</v>
      </c>
      <c r="C52" s="2" t="s">
        <v>150</v>
      </c>
      <c r="D52" s="2" t="s">
        <v>21</v>
      </c>
      <c r="E52" s="2" t="s">
        <v>151</v>
      </c>
      <c r="F52" s="13">
        <v>1</v>
      </c>
      <c r="G52" s="1"/>
      <c r="H52" s="1"/>
      <c r="I52" s="1"/>
      <c r="J52" s="14">
        <v>8.0000000000000004E-4</v>
      </c>
      <c r="K52" s="14">
        <f t="shared" si="0"/>
        <v>8.0000000000000004E-4</v>
      </c>
      <c r="L52" s="15"/>
      <c r="M52" s="15"/>
    </row>
    <row r="53" spans="1:13" ht="37" customHeight="1" x14ac:dyDescent="0.3">
      <c r="A53" s="1"/>
      <c r="B53" s="2" t="s">
        <v>152</v>
      </c>
      <c r="C53" s="2" t="s">
        <v>153</v>
      </c>
      <c r="D53" s="2" t="s">
        <v>17</v>
      </c>
      <c r="E53" s="2" t="s">
        <v>154</v>
      </c>
      <c r="F53" s="13">
        <v>55</v>
      </c>
      <c r="G53" s="1"/>
      <c r="H53" s="1"/>
      <c r="I53" s="1"/>
      <c r="J53" s="14">
        <v>8.0000000000000004E-4</v>
      </c>
      <c r="K53" s="14">
        <f t="shared" si="0"/>
        <v>4.4000000000000004E-2</v>
      </c>
      <c r="L53" s="15"/>
      <c r="M53" s="15"/>
    </row>
    <row r="54" spans="1:13" ht="37" customHeight="1" x14ac:dyDescent="0.3">
      <c r="A54" s="1"/>
      <c r="B54" s="2" t="s">
        <v>155</v>
      </c>
      <c r="C54" s="2" t="s">
        <v>156</v>
      </c>
      <c r="D54" s="2" t="s">
        <v>17</v>
      </c>
      <c r="E54" s="2" t="s">
        <v>157</v>
      </c>
      <c r="F54" s="13">
        <v>4</v>
      </c>
      <c r="G54" s="1"/>
      <c r="H54" s="1"/>
      <c r="I54" s="1"/>
      <c r="J54" s="14">
        <v>8.0000000000000004E-4</v>
      </c>
      <c r="K54" s="14">
        <f t="shared" si="0"/>
        <v>3.2000000000000002E-3</v>
      </c>
      <c r="L54" s="15"/>
      <c r="M54" s="15"/>
    </row>
    <row r="55" spans="1:13" ht="37" customHeight="1" x14ac:dyDescent="0.3">
      <c r="A55" s="1"/>
      <c r="B55" s="2" t="s">
        <v>158</v>
      </c>
      <c r="C55" s="2" t="s">
        <v>61</v>
      </c>
      <c r="D55" s="2" t="s">
        <v>21</v>
      </c>
      <c r="E55" s="2" t="s">
        <v>159</v>
      </c>
      <c r="F55" s="13">
        <v>5</v>
      </c>
      <c r="G55" s="1"/>
      <c r="H55" s="1"/>
      <c r="I55" s="1"/>
      <c r="J55" s="14">
        <v>8.0000000000000004E-4</v>
      </c>
      <c r="K55" s="14">
        <f t="shared" si="0"/>
        <v>4.0000000000000001E-3</v>
      </c>
      <c r="L55" s="15"/>
      <c r="M55" s="15"/>
    </row>
    <row r="56" spans="1:13" ht="37" customHeight="1" x14ac:dyDescent="0.3">
      <c r="A56" s="1"/>
      <c r="B56" s="2" t="s">
        <v>160</v>
      </c>
      <c r="C56" s="2" t="s">
        <v>61</v>
      </c>
      <c r="D56" s="2" t="s">
        <v>17</v>
      </c>
      <c r="E56" s="2" t="s">
        <v>161</v>
      </c>
      <c r="F56" s="13">
        <v>1</v>
      </c>
      <c r="G56" s="1"/>
      <c r="H56" s="1"/>
      <c r="I56" s="1"/>
      <c r="J56" s="14">
        <v>8.0000000000000004E-4</v>
      </c>
      <c r="K56" s="14">
        <f t="shared" si="0"/>
        <v>8.0000000000000004E-4</v>
      </c>
      <c r="L56" s="15"/>
      <c r="M56" s="15"/>
    </row>
    <row r="57" spans="1:13" ht="37" customHeight="1" x14ac:dyDescent="0.3">
      <c r="A57" s="1"/>
      <c r="B57" s="2" t="s">
        <v>162</v>
      </c>
      <c r="C57" s="2" t="s">
        <v>163</v>
      </c>
      <c r="D57" s="2" t="s">
        <v>17</v>
      </c>
      <c r="E57" s="2" t="s">
        <v>164</v>
      </c>
      <c r="F57" s="13">
        <v>10</v>
      </c>
      <c r="G57" s="1"/>
      <c r="H57" s="1"/>
      <c r="I57" s="1"/>
      <c r="J57" s="14">
        <v>8.0000000000000004E-4</v>
      </c>
      <c r="K57" s="14">
        <f t="shared" si="0"/>
        <v>8.0000000000000002E-3</v>
      </c>
      <c r="L57" s="15"/>
      <c r="M57" s="15"/>
    </row>
    <row r="58" spans="1:13" ht="37" customHeight="1" x14ac:dyDescent="0.3">
      <c r="A58" s="1"/>
      <c r="B58" s="2" t="s">
        <v>162</v>
      </c>
      <c r="C58" s="2" t="s">
        <v>163</v>
      </c>
      <c r="D58" s="2" t="s">
        <v>21</v>
      </c>
      <c r="E58" s="2" t="s">
        <v>165</v>
      </c>
      <c r="F58" s="13">
        <v>3</v>
      </c>
      <c r="G58" s="1"/>
      <c r="H58" s="1"/>
      <c r="I58" s="1"/>
      <c r="J58" s="14">
        <v>8.0000000000000004E-4</v>
      </c>
      <c r="K58" s="14">
        <f t="shared" si="0"/>
        <v>2.4000000000000002E-3</v>
      </c>
      <c r="L58" s="15"/>
      <c r="M58" s="15"/>
    </row>
    <row r="59" spans="1:13" ht="37" customHeight="1" x14ac:dyDescent="0.3">
      <c r="A59" s="1"/>
      <c r="B59" s="2" t="s">
        <v>166</v>
      </c>
      <c r="C59" s="2" t="s">
        <v>167</v>
      </c>
      <c r="D59" s="2" t="s">
        <v>17</v>
      </c>
      <c r="E59" s="2" t="s">
        <v>168</v>
      </c>
      <c r="F59" s="13">
        <v>2</v>
      </c>
      <c r="G59" s="1"/>
      <c r="H59" s="1"/>
      <c r="I59" s="1"/>
      <c r="J59" s="14">
        <v>8.0000000000000004E-4</v>
      </c>
      <c r="K59" s="14">
        <f t="shared" si="0"/>
        <v>1.6000000000000001E-3</v>
      </c>
      <c r="L59" s="15"/>
      <c r="M59" s="15"/>
    </row>
    <row r="60" spans="1:13" ht="37" customHeight="1" x14ac:dyDescent="0.3">
      <c r="A60" s="1"/>
      <c r="B60" s="2" t="s">
        <v>169</v>
      </c>
      <c r="C60" s="2" t="s">
        <v>170</v>
      </c>
      <c r="D60" s="2" t="s">
        <v>21</v>
      </c>
      <c r="E60" s="2" t="s">
        <v>171</v>
      </c>
      <c r="F60" s="13">
        <v>1</v>
      </c>
      <c r="G60" s="1"/>
      <c r="H60" s="1"/>
      <c r="I60" s="1"/>
      <c r="J60" s="14">
        <v>8.0000000000000004E-4</v>
      </c>
      <c r="K60" s="14">
        <f t="shared" si="0"/>
        <v>8.0000000000000004E-4</v>
      </c>
      <c r="L60" s="15"/>
      <c r="M60" s="15"/>
    </row>
    <row r="61" spans="1:13" ht="37" customHeight="1" x14ac:dyDescent="0.3">
      <c r="A61" s="1"/>
      <c r="B61" s="2" t="s">
        <v>172</v>
      </c>
      <c r="C61" s="2" t="s">
        <v>173</v>
      </c>
      <c r="D61" s="2" t="s">
        <v>21</v>
      </c>
      <c r="E61" s="2" t="s">
        <v>174</v>
      </c>
      <c r="F61" s="13">
        <v>1</v>
      </c>
      <c r="G61" s="1"/>
      <c r="H61" s="1"/>
      <c r="I61" s="1"/>
      <c r="J61" s="14">
        <v>8.0000000000000004E-4</v>
      </c>
      <c r="K61" s="14">
        <f t="shared" si="0"/>
        <v>8.0000000000000004E-4</v>
      </c>
      <c r="L61" s="15"/>
      <c r="M61" s="15"/>
    </row>
    <row r="62" spans="1:13" ht="37" customHeight="1" x14ac:dyDescent="0.3">
      <c r="A62" s="1"/>
      <c r="B62" s="2" t="s">
        <v>175</v>
      </c>
      <c r="C62" s="2" t="s">
        <v>176</v>
      </c>
      <c r="D62" s="2" t="s">
        <v>17</v>
      </c>
      <c r="E62" s="2" t="s">
        <v>177</v>
      </c>
      <c r="F62" s="13">
        <v>1</v>
      </c>
      <c r="G62" s="1"/>
      <c r="H62" s="1"/>
      <c r="I62" s="1"/>
      <c r="J62" s="14">
        <v>8.0000000000000004E-4</v>
      </c>
      <c r="K62" s="14">
        <f t="shared" si="0"/>
        <v>8.0000000000000004E-4</v>
      </c>
      <c r="L62" s="15"/>
      <c r="M62" s="15"/>
    </row>
    <row r="63" spans="1:13" ht="37" customHeight="1" x14ac:dyDescent="0.3">
      <c r="A63" s="1"/>
      <c r="B63" s="2" t="s">
        <v>178</v>
      </c>
      <c r="C63" s="2" t="s">
        <v>179</v>
      </c>
      <c r="D63" s="2" t="s">
        <v>17</v>
      </c>
      <c r="E63" s="2" t="s">
        <v>180</v>
      </c>
      <c r="F63" s="13">
        <v>2</v>
      </c>
      <c r="G63" s="1"/>
      <c r="H63" s="1"/>
      <c r="I63" s="1"/>
      <c r="J63" s="14">
        <v>8.0000000000000004E-4</v>
      </c>
      <c r="K63" s="14">
        <f t="shared" si="0"/>
        <v>1.6000000000000001E-3</v>
      </c>
      <c r="L63" s="15"/>
      <c r="M63" s="15"/>
    </row>
    <row r="64" spans="1:13" ht="37" customHeight="1" x14ac:dyDescent="0.3">
      <c r="A64" s="1"/>
      <c r="B64" s="2" t="s">
        <v>181</v>
      </c>
      <c r="C64" s="2" t="s">
        <v>182</v>
      </c>
      <c r="D64" s="2" t="s">
        <v>17</v>
      </c>
      <c r="E64" s="2" t="s">
        <v>183</v>
      </c>
      <c r="F64" s="13">
        <v>4</v>
      </c>
      <c r="G64" s="1"/>
      <c r="H64" s="1"/>
      <c r="I64" s="1"/>
      <c r="J64" s="14">
        <v>8.0000000000000004E-4</v>
      </c>
      <c r="K64" s="14">
        <f t="shared" si="0"/>
        <v>3.2000000000000002E-3</v>
      </c>
      <c r="L64" s="15"/>
      <c r="M64" s="15"/>
    </row>
    <row r="65" spans="1:13" ht="37" customHeight="1" x14ac:dyDescent="0.3">
      <c r="A65" s="1"/>
      <c r="B65" s="2" t="s">
        <v>184</v>
      </c>
      <c r="C65" s="2" t="s">
        <v>185</v>
      </c>
      <c r="D65" s="2" t="s">
        <v>17</v>
      </c>
      <c r="E65" s="2" t="s">
        <v>186</v>
      </c>
      <c r="F65" s="13">
        <v>4</v>
      </c>
      <c r="G65" s="1"/>
      <c r="H65" s="1"/>
      <c r="I65" s="1"/>
      <c r="J65" s="14">
        <v>8.0000000000000004E-4</v>
      </c>
      <c r="K65" s="14">
        <f t="shared" si="0"/>
        <v>3.2000000000000002E-3</v>
      </c>
      <c r="L65" s="15"/>
      <c r="M65" s="15"/>
    </row>
    <row r="66" spans="1:13" ht="37" customHeight="1" x14ac:dyDescent="0.3">
      <c r="A66" s="1"/>
      <c r="B66" s="2" t="s">
        <v>187</v>
      </c>
      <c r="C66" s="2" t="s">
        <v>188</v>
      </c>
      <c r="D66" s="2" t="s">
        <v>189</v>
      </c>
      <c r="E66" s="2" t="s">
        <v>190</v>
      </c>
      <c r="F66" s="13">
        <v>5</v>
      </c>
      <c r="G66" s="1"/>
      <c r="H66" s="1"/>
      <c r="I66" s="1"/>
      <c r="J66" s="14">
        <v>2.8999999999999998E-3</v>
      </c>
      <c r="K66" s="14">
        <f t="shared" si="0"/>
        <v>1.4499999999999999E-2</v>
      </c>
      <c r="L66" s="15"/>
      <c r="M66" s="15"/>
    </row>
    <row r="67" spans="1:13" ht="37" customHeight="1" x14ac:dyDescent="0.3">
      <c r="A67" s="1"/>
      <c r="B67" s="2" t="s">
        <v>196</v>
      </c>
      <c r="C67" s="2" t="s">
        <v>197</v>
      </c>
      <c r="D67" s="2" t="s">
        <v>194</v>
      </c>
      <c r="E67" s="2" t="s">
        <v>198</v>
      </c>
      <c r="F67" s="13">
        <v>14</v>
      </c>
      <c r="G67" s="1"/>
      <c r="H67" s="1"/>
      <c r="I67" s="1"/>
      <c r="J67" s="14">
        <v>2.8E-3</v>
      </c>
      <c r="K67" s="14">
        <f t="shared" si="0"/>
        <v>3.9199999999999999E-2</v>
      </c>
      <c r="L67" s="15"/>
      <c r="M67" s="15"/>
    </row>
    <row r="68" spans="1:13" s="4" customFormat="1" ht="37" customHeight="1" x14ac:dyDescent="0.3">
      <c r="A68" s="37" t="s">
        <v>191</v>
      </c>
      <c r="B68" s="22" t="s">
        <v>192</v>
      </c>
      <c r="C68" s="22" t="s">
        <v>193</v>
      </c>
      <c r="D68" s="22" t="s">
        <v>194</v>
      </c>
      <c r="E68" s="22" t="s">
        <v>195</v>
      </c>
      <c r="F68" s="23">
        <v>4</v>
      </c>
      <c r="G68" s="24"/>
      <c r="H68" s="24"/>
      <c r="I68" s="24"/>
      <c r="J68" s="25">
        <v>1.61E-2</v>
      </c>
      <c r="K68" s="25">
        <v>0</v>
      </c>
      <c r="L68" s="36" t="s">
        <v>855</v>
      </c>
      <c r="M68" s="26"/>
    </row>
    <row r="69" spans="1:13" s="32" customFormat="1" ht="37" customHeight="1" x14ac:dyDescent="0.3">
      <c r="A69" s="38" t="s">
        <v>191</v>
      </c>
      <c r="B69" s="39" t="s">
        <v>199</v>
      </c>
      <c r="C69" s="39" t="s">
        <v>20</v>
      </c>
      <c r="D69" s="39" t="s">
        <v>194</v>
      </c>
      <c r="E69" s="39" t="s">
        <v>856</v>
      </c>
      <c r="F69" s="40">
        <v>6</v>
      </c>
      <c r="G69" s="41"/>
      <c r="H69" s="41"/>
      <c r="I69" s="41"/>
      <c r="J69" s="42">
        <v>5.4999999999999997E-3</v>
      </c>
      <c r="K69" s="42">
        <f>J69*F69</f>
        <v>3.3000000000000002E-2</v>
      </c>
      <c r="L69" s="43" t="s">
        <v>857</v>
      </c>
      <c r="M69" s="44" t="s">
        <v>858</v>
      </c>
    </row>
    <row r="70" spans="1:13" s="32" customFormat="1" ht="37" customHeight="1" x14ac:dyDescent="0.3">
      <c r="A70" s="38" t="s">
        <v>191</v>
      </c>
      <c r="B70" s="39" t="s">
        <v>201</v>
      </c>
      <c r="C70" s="39" t="s">
        <v>24</v>
      </c>
      <c r="D70" s="39" t="s">
        <v>194</v>
      </c>
      <c r="E70" s="39" t="s">
        <v>202</v>
      </c>
      <c r="F70" s="40">
        <v>2</v>
      </c>
      <c r="G70" s="41"/>
      <c r="H70" s="41"/>
      <c r="I70" s="41"/>
      <c r="J70" s="42">
        <v>1.15E-2</v>
      </c>
      <c r="K70" s="42">
        <f>J70*F70</f>
        <v>2.3E-2</v>
      </c>
      <c r="L70" s="44"/>
      <c r="M70" s="44" t="s">
        <v>858</v>
      </c>
    </row>
    <row r="71" spans="1:13" s="32" customFormat="1" ht="37" customHeight="1" x14ac:dyDescent="0.3">
      <c r="A71" s="38" t="s">
        <v>191</v>
      </c>
      <c r="B71" s="39" t="s">
        <v>203</v>
      </c>
      <c r="C71" s="39" t="s">
        <v>204</v>
      </c>
      <c r="D71" s="39" t="s">
        <v>194</v>
      </c>
      <c r="E71" s="39" t="s">
        <v>205</v>
      </c>
      <c r="F71" s="40">
        <v>2</v>
      </c>
      <c r="G71" s="41"/>
      <c r="H71" s="41"/>
      <c r="I71" s="41"/>
      <c r="J71" s="42">
        <v>5.4999999999999997E-3</v>
      </c>
      <c r="K71" s="42">
        <f t="shared" ref="K71:K75" si="1">J71*F71</f>
        <v>1.0999999999999999E-2</v>
      </c>
      <c r="L71" s="44"/>
      <c r="M71" s="44" t="s">
        <v>858</v>
      </c>
    </row>
    <row r="72" spans="1:13" s="32" customFormat="1" ht="37" customHeight="1" x14ac:dyDescent="0.3">
      <c r="A72" s="38" t="s">
        <v>191</v>
      </c>
      <c r="B72" s="39" t="s">
        <v>206</v>
      </c>
      <c r="C72" s="39" t="s">
        <v>207</v>
      </c>
      <c r="D72" s="39" t="s">
        <v>194</v>
      </c>
      <c r="E72" s="39" t="s">
        <v>208</v>
      </c>
      <c r="F72" s="40">
        <v>2</v>
      </c>
      <c r="G72" s="41"/>
      <c r="H72" s="41"/>
      <c r="I72" s="41"/>
      <c r="J72" s="42">
        <v>5.4999999999999997E-3</v>
      </c>
      <c r="K72" s="42">
        <f t="shared" si="1"/>
        <v>1.0999999999999999E-2</v>
      </c>
      <c r="L72" s="44"/>
      <c r="M72" s="44" t="s">
        <v>858</v>
      </c>
    </row>
    <row r="73" spans="1:13" s="32" customFormat="1" ht="37" customHeight="1" x14ac:dyDescent="0.3">
      <c r="A73" s="38" t="s">
        <v>191</v>
      </c>
      <c r="B73" s="39" t="s">
        <v>209</v>
      </c>
      <c r="C73" s="39" t="s">
        <v>30</v>
      </c>
      <c r="D73" s="39" t="s">
        <v>194</v>
      </c>
      <c r="E73" s="39" t="s">
        <v>210</v>
      </c>
      <c r="F73" s="40">
        <v>4</v>
      </c>
      <c r="G73" s="41"/>
      <c r="H73" s="41"/>
      <c r="I73" s="41"/>
      <c r="J73" s="42">
        <v>5.4999999999999997E-3</v>
      </c>
      <c r="K73" s="42">
        <f t="shared" si="1"/>
        <v>2.1999999999999999E-2</v>
      </c>
      <c r="L73" s="44"/>
      <c r="M73" s="44" t="s">
        <v>858</v>
      </c>
    </row>
    <row r="74" spans="1:13" ht="37" customHeight="1" x14ac:dyDescent="0.3">
      <c r="A74" s="1"/>
      <c r="B74" s="2" t="s">
        <v>211</v>
      </c>
      <c r="C74" s="2" t="s">
        <v>30</v>
      </c>
      <c r="D74" s="2" t="s">
        <v>194</v>
      </c>
      <c r="E74" s="2" t="s">
        <v>212</v>
      </c>
      <c r="F74" s="13">
        <v>2</v>
      </c>
      <c r="G74" s="1"/>
      <c r="H74" s="1"/>
      <c r="I74" s="1"/>
      <c r="J74" s="14">
        <v>1.2999999999999999E-3</v>
      </c>
      <c r="K74" s="14">
        <f t="shared" si="1"/>
        <v>2.5999999999999999E-3</v>
      </c>
      <c r="L74" s="15"/>
      <c r="M74" s="15"/>
    </row>
    <row r="75" spans="1:13" s="32" customFormat="1" ht="37" customHeight="1" x14ac:dyDescent="0.3">
      <c r="A75" s="38" t="s">
        <v>191</v>
      </c>
      <c r="B75" s="39" t="s">
        <v>213</v>
      </c>
      <c r="C75" s="39" t="s">
        <v>214</v>
      </c>
      <c r="D75" s="39" t="s">
        <v>194</v>
      </c>
      <c r="E75" s="39" t="s">
        <v>215</v>
      </c>
      <c r="F75" s="40">
        <v>4</v>
      </c>
      <c r="G75" s="41"/>
      <c r="H75" s="41"/>
      <c r="I75" s="41"/>
      <c r="J75" s="42">
        <v>5.4999999999999997E-3</v>
      </c>
      <c r="K75" s="42">
        <f t="shared" si="1"/>
        <v>2.1999999999999999E-2</v>
      </c>
      <c r="L75" s="44"/>
      <c r="M75" s="44" t="s">
        <v>858</v>
      </c>
    </row>
    <row r="76" spans="1:13" s="4" customFormat="1" ht="37" customHeight="1" x14ac:dyDescent="0.3">
      <c r="A76" s="37" t="s">
        <v>191</v>
      </c>
      <c r="B76" s="22" t="s">
        <v>213</v>
      </c>
      <c r="C76" s="22" t="s">
        <v>214</v>
      </c>
      <c r="D76" s="22" t="s">
        <v>189</v>
      </c>
      <c r="E76" s="22" t="s">
        <v>216</v>
      </c>
      <c r="F76" s="23">
        <v>4</v>
      </c>
      <c r="G76" s="24"/>
      <c r="H76" s="24"/>
      <c r="I76" s="24"/>
      <c r="J76" s="25">
        <v>9.5999999999999992E-3</v>
      </c>
      <c r="K76" s="25">
        <v>0</v>
      </c>
      <c r="L76" s="36" t="s">
        <v>855</v>
      </c>
      <c r="M76" s="26"/>
    </row>
    <row r="77" spans="1:13" s="4" customFormat="1" ht="37" customHeight="1" x14ac:dyDescent="0.3">
      <c r="A77" s="37" t="s">
        <v>191</v>
      </c>
      <c r="B77" s="22" t="s">
        <v>217</v>
      </c>
      <c r="C77" s="22" t="s">
        <v>218</v>
      </c>
      <c r="D77" s="22" t="s">
        <v>194</v>
      </c>
      <c r="E77" s="22" t="s">
        <v>219</v>
      </c>
      <c r="F77" s="23">
        <v>8</v>
      </c>
      <c r="G77" s="24"/>
      <c r="H77" s="24"/>
      <c r="I77" s="24"/>
      <c r="J77" s="25">
        <v>9.5999999999999992E-3</v>
      </c>
      <c r="K77" s="25">
        <v>0</v>
      </c>
      <c r="L77" s="36" t="s">
        <v>855</v>
      </c>
      <c r="M77" s="26"/>
    </row>
    <row r="78" spans="1:13" s="32" customFormat="1" ht="37" customHeight="1" x14ac:dyDescent="0.3">
      <c r="A78" s="38" t="s">
        <v>191</v>
      </c>
      <c r="B78" s="39" t="s">
        <v>220</v>
      </c>
      <c r="C78" s="39" t="s">
        <v>221</v>
      </c>
      <c r="D78" s="39" t="s">
        <v>194</v>
      </c>
      <c r="E78" s="39" t="s">
        <v>222</v>
      </c>
      <c r="F78" s="40">
        <v>2</v>
      </c>
      <c r="G78" s="41"/>
      <c r="H78" s="41"/>
      <c r="I78" s="41"/>
      <c r="J78" s="42">
        <v>5.4999999999999997E-3</v>
      </c>
      <c r="K78" s="42">
        <f t="shared" ref="K78:K114" si="2">J78*F78</f>
        <v>1.0999999999999999E-2</v>
      </c>
      <c r="L78" s="44"/>
      <c r="M78" s="44" t="s">
        <v>858</v>
      </c>
    </row>
    <row r="79" spans="1:13" s="32" customFormat="1" ht="37" customHeight="1" x14ac:dyDescent="0.3">
      <c r="A79" s="38" t="s">
        <v>191</v>
      </c>
      <c r="B79" s="39" t="s">
        <v>223</v>
      </c>
      <c r="C79" s="39" t="s">
        <v>224</v>
      </c>
      <c r="D79" s="39" t="s">
        <v>189</v>
      </c>
      <c r="E79" s="39" t="s">
        <v>225</v>
      </c>
      <c r="F79" s="40">
        <v>4</v>
      </c>
      <c r="G79" s="41"/>
      <c r="H79" s="41"/>
      <c r="I79" s="41"/>
      <c r="J79" s="42">
        <v>5.4999999999999997E-3</v>
      </c>
      <c r="K79" s="42">
        <f t="shared" si="2"/>
        <v>2.1999999999999999E-2</v>
      </c>
      <c r="L79" s="44"/>
      <c r="M79" s="44" t="s">
        <v>858</v>
      </c>
    </row>
    <row r="80" spans="1:13" ht="37" customHeight="1" x14ac:dyDescent="0.3">
      <c r="A80" s="1"/>
      <c r="B80" s="2" t="s">
        <v>226</v>
      </c>
      <c r="C80" s="2" t="s">
        <v>104</v>
      </c>
      <c r="D80" s="2" t="s">
        <v>194</v>
      </c>
      <c r="E80" s="2" t="s">
        <v>227</v>
      </c>
      <c r="F80" s="13">
        <v>2</v>
      </c>
      <c r="G80" s="1"/>
      <c r="H80" s="1"/>
      <c r="I80" s="1"/>
      <c r="J80" s="14">
        <v>1.2999999999999999E-3</v>
      </c>
      <c r="K80" s="14">
        <f t="shared" si="2"/>
        <v>2.5999999999999999E-3</v>
      </c>
      <c r="L80" s="15"/>
      <c r="M80" s="15"/>
    </row>
    <row r="81" spans="1:13" s="32" customFormat="1" ht="37" customHeight="1" x14ac:dyDescent="0.3">
      <c r="A81" s="38" t="s">
        <v>191</v>
      </c>
      <c r="B81" s="39" t="s">
        <v>228</v>
      </c>
      <c r="C81" s="39" t="s">
        <v>229</v>
      </c>
      <c r="D81" s="39" t="s">
        <v>194</v>
      </c>
      <c r="E81" s="39" t="s">
        <v>859</v>
      </c>
      <c r="F81" s="40">
        <v>6</v>
      </c>
      <c r="G81" s="41"/>
      <c r="H81" s="41"/>
      <c r="I81" s="41"/>
      <c r="J81" s="42">
        <v>5.4999999999999997E-3</v>
      </c>
      <c r="K81" s="42">
        <f t="shared" si="2"/>
        <v>3.3000000000000002E-2</v>
      </c>
      <c r="L81" s="43" t="s">
        <v>860</v>
      </c>
      <c r="M81" s="44" t="s">
        <v>858</v>
      </c>
    </row>
    <row r="82" spans="1:13" s="32" customFormat="1" ht="37" customHeight="1" x14ac:dyDescent="0.3">
      <c r="A82" s="38" t="s">
        <v>191</v>
      </c>
      <c r="B82" s="39" t="s">
        <v>231</v>
      </c>
      <c r="C82" s="39" t="s">
        <v>112</v>
      </c>
      <c r="D82" s="39" t="s">
        <v>194</v>
      </c>
      <c r="E82" s="39" t="s">
        <v>232</v>
      </c>
      <c r="F82" s="40">
        <v>2</v>
      </c>
      <c r="G82" s="41"/>
      <c r="H82" s="41"/>
      <c r="I82" s="41"/>
      <c r="J82" s="42">
        <v>5.4999999999999997E-3</v>
      </c>
      <c r="K82" s="42">
        <f t="shared" si="2"/>
        <v>1.0999999999999999E-2</v>
      </c>
      <c r="L82" s="44"/>
      <c r="M82" s="44" t="s">
        <v>858</v>
      </c>
    </row>
    <row r="83" spans="1:13" s="32" customFormat="1" ht="37" customHeight="1" x14ac:dyDescent="0.3">
      <c r="A83" s="38" t="s">
        <v>191</v>
      </c>
      <c r="B83" s="39" t="s">
        <v>233</v>
      </c>
      <c r="C83" s="39" t="s">
        <v>45</v>
      </c>
      <c r="D83" s="39" t="s">
        <v>194</v>
      </c>
      <c r="E83" s="39" t="s">
        <v>861</v>
      </c>
      <c r="F83" s="40">
        <v>12</v>
      </c>
      <c r="G83" s="41"/>
      <c r="H83" s="41"/>
      <c r="I83" s="41"/>
      <c r="J83" s="42">
        <v>5.4999999999999997E-3</v>
      </c>
      <c r="K83" s="42">
        <f t="shared" si="2"/>
        <v>6.6000000000000003E-2</v>
      </c>
      <c r="L83" s="43" t="s">
        <v>862</v>
      </c>
      <c r="M83" s="44" t="s">
        <v>858</v>
      </c>
    </row>
    <row r="84" spans="1:13" s="32" customFormat="1" ht="37" customHeight="1" x14ac:dyDescent="0.3">
      <c r="A84" s="38" t="s">
        <v>191</v>
      </c>
      <c r="B84" s="39" t="s">
        <v>233</v>
      </c>
      <c r="C84" s="39" t="s">
        <v>235</v>
      </c>
      <c r="D84" s="39" t="s">
        <v>189</v>
      </c>
      <c r="E84" s="39" t="s">
        <v>236</v>
      </c>
      <c r="F84" s="40">
        <v>2</v>
      </c>
      <c r="G84" s="41"/>
      <c r="H84" s="41"/>
      <c r="I84" s="41"/>
      <c r="J84" s="42">
        <v>5.4999999999999997E-3</v>
      </c>
      <c r="K84" s="42">
        <f t="shared" si="2"/>
        <v>1.0999999999999999E-2</v>
      </c>
      <c r="L84" s="44"/>
      <c r="M84" s="44" t="s">
        <v>858</v>
      </c>
    </row>
    <row r="85" spans="1:13" ht="37" customHeight="1" x14ac:dyDescent="0.3">
      <c r="A85" s="1"/>
      <c r="B85" s="2" t="s">
        <v>237</v>
      </c>
      <c r="C85" s="2" t="s">
        <v>118</v>
      </c>
      <c r="D85" s="2" t="s">
        <v>194</v>
      </c>
      <c r="E85" s="2" t="s">
        <v>238</v>
      </c>
      <c r="F85" s="13">
        <v>3</v>
      </c>
      <c r="G85" s="1"/>
      <c r="H85" s="1"/>
      <c r="I85" s="1"/>
      <c r="J85" s="14">
        <v>1.2999999999999999E-3</v>
      </c>
      <c r="K85" s="14">
        <f t="shared" si="2"/>
        <v>3.8999999999999998E-3</v>
      </c>
      <c r="L85" s="15"/>
      <c r="M85" s="15"/>
    </row>
    <row r="86" spans="1:13" s="32" customFormat="1" ht="37" customHeight="1" x14ac:dyDescent="0.3">
      <c r="A86" s="38" t="s">
        <v>191</v>
      </c>
      <c r="B86" s="39" t="s">
        <v>239</v>
      </c>
      <c r="C86" s="39" t="s">
        <v>240</v>
      </c>
      <c r="D86" s="39" t="s">
        <v>194</v>
      </c>
      <c r="E86" s="39" t="s">
        <v>241</v>
      </c>
      <c r="F86" s="40">
        <v>2</v>
      </c>
      <c r="G86" s="41"/>
      <c r="H86" s="41"/>
      <c r="I86" s="41"/>
      <c r="J86" s="42">
        <v>5.4999999999999997E-3</v>
      </c>
      <c r="K86" s="42">
        <f t="shared" si="2"/>
        <v>1.0999999999999999E-2</v>
      </c>
      <c r="L86" s="44"/>
      <c r="M86" s="44" t="s">
        <v>858</v>
      </c>
    </row>
    <row r="87" spans="1:13" s="32" customFormat="1" ht="37" customHeight="1" x14ac:dyDescent="0.3">
      <c r="A87" s="38" t="s">
        <v>191</v>
      </c>
      <c r="B87" s="39" t="s">
        <v>242</v>
      </c>
      <c r="C87" s="39" t="s">
        <v>243</v>
      </c>
      <c r="D87" s="39" t="s">
        <v>194</v>
      </c>
      <c r="E87" s="39" t="s">
        <v>244</v>
      </c>
      <c r="F87" s="40">
        <v>2</v>
      </c>
      <c r="G87" s="41"/>
      <c r="H87" s="41"/>
      <c r="I87" s="41"/>
      <c r="J87" s="42">
        <v>1.34E-2</v>
      </c>
      <c r="K87" s="42">
        <f t="shared" si="2"/>
        <v>2.6800000000000001E-2</v>
      </c>
      <c r="L87" s="44"/>
      <c r="M87" s="44" t="s">
        <v>858</v>
      </c>
    </row>
    <row r="88" spans="1:13" s="32" customFormat="1" ht="37" customHeight="1" x14ac:dyDescent="0.3">
      <c r="A88" s="38" t="s">
        <v>191</v>
      </c>
      <c r="B88" s="39" t="s">
        <v>245</v>
      </c>
      <c r="C88" s="39" t="s">
        <v>130</v>
      </c>
      <c r="D88" s="39" t="s">
        <v>194</v>
      </c>
      <c r="E88" s="39" t="s">
        <v>246</v>
      </c>
      <c r="F88" s="40">
        <v>2</v>
      </c>
      <c r="G88" s="41"/>
      <c r="H88" s="41"/>
      <c r="I88" s="41"/>
      <c r="J88" s="42">
        <v>5.4999999999999997E-3</v>
      </c>
      <c r="K88" s="42">
        <f t="shared" si="2"/>
        <v>1.0999999999999999E-2</v>
      </c>
      <c r="L88" s="44"/>
      <c r="M88" s="44" t="s">
        <v>858</v>
      </c>
    </row>
    <row r="89" spans="1:13" s="32" customFormat="1" ht="37" customHeight="1" x14ac:dyDescent="0.3">
      <c r="A89" s="38" t="s">
        <v>191</v>
      </c>
      <c r="B89" s="39" t="s">
        <v>247</v>
      </c>
      <c r="C89" s="39" t="s">
        <v>248</v>
      </c>
      <c r="D89" s="39" t="s">
        <v>194</v>
      </c>
      <c r="E89" s="39" t="s">
        <v>249</v>
      </c>
      <c r="F89" s="40">
        <v>2</v>
      </c>
      <c r="G89" s="41"/>
      <c r="H89" s="41"/>
      <c r="I89" s="41"/>
      <c r="J89" s="42">
        <v>5.4999999999999997E-3</v>
      </c>
      <c r="K89" s="42">
        <f t="shared" si="2"/>
        <v>1.0999999999999999E-2</v>
      </c>
      <c r="L89" s="44"/>
      <c r="M89" s="44" t="s">
        <v>858</v>
      </c>
    </row>
    <row r="90" spans="1:13" s="32" customFormat="1" ht="37" customHeight="1" x14ac:dyDescent="0.3">
      <c r="A90" s="38" t="s">
        <v>191</v>
      </c>
      <c r="B90" s="39" t="s">
        <v>250</v>
      </c>
      <c r="C90" s="39" t="s">
        <v>153</v>
      </c>
      <c r="D90" s="39" t="s">
        <v>189</v>
      </c>
      <c r="E90" s="39" t="s">
        <v>251</v>
      </c>
      <c r="F90" s="40">
        <v>4</v>
      </c>
      <c r="G90" s="41"/>
      <c r="H90" s="41"/>
      <c r="I90" s="41"/>
      <c r="J90" s="42">
        <v>5.4999999999999997E-3</v>
      </c>
      <c r="K90" s="42">
        <f t="shared" si="2"/>
        <v>2.1999999999999999E-2</v>
      </c>
      <c r="L90" s="44"/>
      <c r="M90" s="44" t="s">
        <v>858</v>
      </c>
    </row>
    <row r="91" spans="1:13" ht="37" customHeight="1" x14ac:dyDescent="0.3">
      <c r="A91" s="1"/>
      <c r="B91" s="2" t="s">
        <v>252</v>
      </c>
      <c r="C91" s="2" t="s">
        <v>253</v>
      </c>
      <c r="D91" s="2" t="s">
        <v>194</v>
      </c>
      <c r="E91" s="2" t="s">
        <v>254</v>
      </c>
      <c r="F91" s="13">
        <v>3</v>
      </c>
      <c r="G91" s="1"/>
      <c r="H91" s="1"/>
      <c r="I91" s="1"/>
      <c r="J91" s="14">
        <v>1.2999999999999999E-3</v>
      </c>
      <c r="K91" s="14">
        <f t="shared" si="2"/>
        <v>3.8999999999999998E-3</v>
      </c>
      <c r="L91" s="15"/>
      <c r="M91" s="15"/>
    </row>
    <row r="92" spans="1:13" s="32" customFormat="1" ht="37" customHeight="1" x14ac:dyDescent="0.3">
      <c r="A92" s="38" t="s">
        <v>191</v>
      </c>
      <c r="B92" s="39" t="s">
        <v>255</v>
      </c>
      <c r="C92" s="39" t="s">
        <v>256</v>
      </c>
      <c r="D92" s="39" t="s">
        <v>194</v>
      </c>
      <c r="E92" s="39" t="s">
        <v>257</v>
      </c>
      <c r="F92" s="40">
        <v>2</v>
      </c>
      <c r="G92" s="41"/>
      <c r="H92" s="41"/>
      <c r="I92" s="41"/>
      <c r="J92" s="42">
        <v>5.4999999999999997E-3</v>
      </c>
      <c r="K92" s="42">
        <f t="shared" si="2"/>
        <v>1.0999999999999999E-2</v>
      </c>
      <c r="L92" s="44"/>
      <c r="M92" s="44" t="s">
        <v>858</v>
      </c>
    </row>
    <row r="93" spans="1:13" s="4" customFormat="1" ht="37" customHeight="1" x14ac:dyDescent="0.3">
      <c r="A93" s="37" t="s">
        <v>191</v>
      </c>
      <c r="B93" s="22" t="s">
        <v>258</v>
      </c>
      <c r="C93" s="22" t="s">
        <v>259</v>
      </c>
      <c r="D93" s="22" t="s">
        <v>194</v>
      </c>
      <c r="E93" s="22" t="s">
        <v>260</v>
      </c>
      <c r="F93" s="23">
        <v>6</v>
      </c>
      <c r="G93" s="24"/>
      <c r="H93" s="24"/>
      <c r="I93" s="24"/>
      <c r="J93" s="25">
        <v>1.61E-2</v>
      </c>
      <c r="K93" s="25">
        <v>0</v>
      </c>
      <c r="L93" s="26"/>
      <c r="M93" s="26"/>
    </row>
    <row r="94" spans="1:13" s="32" customFormat="1" ht="37" customHeight="1" x14ac:dyDescent="0.3">
      <c r="A94" s="38"/>
      <c r="B94" s="39" t="s">
        <v>863</v>
      </c>
      <c r="C94" s="39" t="s">
        <v>864</v>
      </c>
      <c r="D94" s="39" t="s">
        <v>194</v>
      </c>
      <c r="E94" s="39" t="s">
        <v>865</v>
      </c>
      <c r="F94" s="40">
        <v>4</v>
      </c>
      <c r="G94" s="41"/>
      <c r="H94" s="41"/>
      <c r="I94" s="41"/>
      <c r="J94" s="42">
        <v>5.4999999999999997E-3</v>
      </c>
      <c r="K94" s="42">
        <f t="shared" si="2"/>
        <v>2.1999999999999999E-2</v>
      </c>
      <c r="L94" s="44"/>
      <c r="M94" s="44" t="s">
        <v>858</v>
      </c>
    </row>
    <row r="95" spans="1:13" s="32" customFormat="1" ht="37" customHeight="1" x14ac:dyDescent="0.3">
      <c r="A95" s="38" t="s">
        <v>191</v>
      </c>
      <c r="B95" s="39" t="s">
        <v>261</v>
      </c>
      <c r="C95" s="39" t="s">
        <v>262</v>
      </c>
      <c r="D95" s="39" t="s">
        <v>194</v>
      </c>
      <c r="E95" s="39" t="s">
        <v>263</v>
      </c>
      <c r="F95" s="40">
        <v>4</v>
      </c>
      <c r="G95" s="41"/>
      <c r="H95" s="41"/>
      <c r="I95" s="41"/>
      <c r="J95" s="42">
        <v>1.34E-2</v>
      </c>
      <c r="K95" s="42">
        <f t="shared" si="2"/>
        <v>5.3600000000000002E-2</v>
      </c>
      <c r="L95" s="44"/>
      <c r="M95" s="44" t="s">
        <v>858</v>
      </c>
    </row>
    <row r="96" spans="1:13" s="4" customFormat="1" ht="37" customHeight="1" x14ac:dyDescent="0.3">
      <c r="A96" s="37" t="s">
        <v>191</v>
      </c>
      <c r="B96" s="22" t="s">
        <v>264</v>
      </c>
      <c r="C96" s="22" t="s">
        <v>265</v>
      </c>
      <c r="D96" s="22" t="s">
        <v>194</v>
      </c>
      <c r="E96" s="22" t="s">
        <v>266</v>
      </c>
      <c r="F96" s="23">
        <v>4</v>
      </c>
      <c r="G96" s="24"/>
      <c r="H96" s="24"/>
      <c r="I96" s="24"/>
      <c r="J96" s="25">
        <v>1.61E-2</v>
      </c>
      <c r="K96" s="25">
        <v>0</v>
      </c>
      <c r="L96" s="26"/>
      <c r="M96" s="26"/>
    </row>
    <row r="97" spans="1:13" s="32" customFormat="1" ht="37" customHeight="1" x14ac:dyDescent="0.3">
      <c r="A97" s="38"/>
      <c r="B97" s="39" t="s">
        <v>866</v>
      </c>
      <c r="C97" s="39" t="s">
        <v>867</v>
      </c>
      <c r="D97" s="39" t="s">
        <v>194</v>
      </c>
      <c r="E97" s="39" t="s">
        <v>266</v>
      </c>
      <c r="F97" s="40">
        <v>4</v>
      </c>
      <c r="G97" s="41"/>
      <c r="H97" s="41"/>
      <c r="I97" s="41"/>
      <c r="J97" s="42">
        <v>5.4999999999999997E-3</v>
      </c>
      <c r="K97" s="42">
        <f t="shared" si="2"/>
        <v>2.1999999999999999E-2</v>
      </c>
      <c r="L97" s="44"/>
      <c r="M97" s="44" t="s">
        <v>858</v>
      </c>
    </row>
    <row r="98" spans="1:13" s="4" customFormat="1" ht="37" customHeight="1" x14ac:dyDescent="0.3">
      <c r="A98" s="37" t="s">
        <v>191</v>
      </c>
      <c r="B98" s="22" t="s">
        <v>267</v>
      </c>
      <c r="C98" s="22" t="s">
        <v>268</v>
      </c>
      <c r="D98" s="22" t="s">
        <v>194</v>
      </c>
      <c r="E98" s="22" t="s">
        <v>269</v>
      </c>
      <c r="F98" s="23">
        <v>4</v>
      </c>
      <c r="G98" s="24"/>
      <c r="H98" s="24"/>
      <c r="I98" s="24"/>
      <c r="J98" s="25">
        <v>1.61E-2</v>
      </c>
      <c r="K98" s="25">
        <v>0</v>
      </c>
      <c r="L98" s="26"/>
      <c r="M98" s="26"/>
    </row>
    <row r="99" spans="1:13" s="32" customFormat="1" ht="37" customHeight="1" x14ac:dyDescent="0.3">
      <c r="A99" s="38"/>
      <c r="B99" s="39" t="s">
        <v>868</v>
      </c>
      <c r="C99" s="39" t="s">
        <v>869</v>
      </c>
      <c r="D99" s="39" t="s">
        <v>194</v>
      </c>
      <c r="E99" s="39" t="s">
        <v>269</v>
      </c>
      <c r="F99" s="40">
        <v>4</v>
      </c>
      <c r="G99" s="41"/>
      <c r="H99" s="41"/>
      <c r="I99" s="41"/>
      <c r="J99" s="42">
        <v>5.4999999999999997E-3</v>
      </c>
      <c r="K99" s="42">
        <f t="shared" si="2"/>
        <v>2.1999999999999999E-2</v>
      </c>
      <c r="L99" s="44"/>
      <c r="M99" s="44" t="s">
        <v>858</v>
      </c>
    </row>
    <row r="100" spans="1:13" s="32" customFormat="1" ht="37" customHeight="1" x14ac:dyDescent="0.3">
      <c r="A100" s="38" t="s">
        <v>191</v>
      </c>
      <c r="B100" s="39" t="s">
        <v>270</v>
      </c>
      <c r="C100" s="39" t="s">
        <v>271</v>
      </c>
      <c r="D100" s="39" t="s">
        <v>189</v>
      </c>
      <c r="E100" s="39" t="s">
        <v>272</v>
      </c>
      <c r="F100" s="40">
        <v>4</v>
      </c>
      <c r="G100" s="41"/>
      <c r="H100" s="41"/>
      <c r="I100" s="41"/>
      <c r="J100" s="42">
        <v>1.34E-2</v>
      </c>
      <c r="K100" s="42">
        <f t="shared" si="2"/>
        <v>5.3600000000000002E-2</v>
      </c>
      <c r="L100" s="44"/>
      <c r="M100" s="44" t="s">
        <v>858</v>
      </c>
    </row>
    <row r="101" spans="1:13" s="4" customFormat="1" ht="37" customHeight="1" x14ac:dyDescent="0.3">
      <c r="A101" s="37" t="s">
        <v>191</v>
      </c>
      <c r="B101" s="22" t="s">
        <v>273</v>
      </c>
      <c r="C101" s="22" t="s">
        <v>274</v>
      </c>
      <c r="D101" s="22" t="s">
        <v>189</v>
      </c>
      <c r="E101" s="22" t="s">
        <v>275</v>
      </c>
      <c r="F101" s="23">
        <v>6</v>
      </c>
      <c r="G101" s="24"/>
      <c r="H101" s="24"/>
      <c r="I101" s="24"/>
      <c r="J101" s="25">
        <v>1.55E-2</v>
      </c>
      <c r="K101" s="25">
        <v>0</v>
      </c>
      <c r="L101" s="26"/>
      <c r="M101" s="26"/>
    </row>
    <row r="102" spans="1:13" s="32" customFormat="1" ht="37" customHeight="1" x14ac:dyDescent="0.3">
      <c r="A102" s="38"/>
      <c r="B102" s="39" t="s">
        <v>870</v>
      </c>
      <c r="C102" s="39" t="s">
        <v>871</v>
      </c>
      <c r="D102" s="39" t="s">
        <v>189</v>
      </c>
      <c r="E102" s="39" t="s">
        <v>275</v>
      </c>
      <c r="F102" s="40">
        <v>6</v>
      </c>
      <c r="G102" s="41"/>
      <c r="H102" s="41"/>
      <c r="I102" s="41"/>
      <c r="J102" s="42">
        <v>1.15E-2</v>
      </c>
      <c r="K102" s="42">
        <f t="shared" si="2"/>
        <v>6.9000000000000006E-2</v>
      </c>
      <c r="L102" s="44"/>
      <c r="M102" s="44" t="s">
        <v>858</v>
      </c>
    </row>
    <row r="103" spans="1:13" s="32" customFormat="1" ht="37" customHeight="1" x14ac:dyDescent="0.3">
      <c r="A103" s="38" t="s">
        <v>191</v>
      </c>
      <c r="B103" s="39" t="s">
        <v>276</v>
      </c>
      <c r="C103" s="39" t="s">
        <v>277</v>
      </c>
      <c r="D103" s="39" t="s">
        <v>194</v>
      </c>
      <c r="E103" s="39" t="s">
        <v>278</v>
      </c>
      <c r="F103" s="40">
        <v>6</v>
      </c>
      <c r="G103" s="41"/>
      <c r="H103" s="41"/>
      <c r="I103" s="41"/>
      <c r="J103" s="42">
        <v>1.34E-2</v>
      </c>
      <c r="K103" s="42">
        <f t="shared" si="2"/>
        <v>8.0399999999999999E-2</v>
      </c>
      <c r="L103" s="44"/>
      <c r="M103" s="44" t="s">
        <v>858</v>
      </c>
    </row>
    <row r="104" spans="1:13" s="32" customFormat="1" ht="37" customHeight="1" x14ac:dyDescent="0.3">
      <c r="A104" s="38" t="s">
        <v>191</v>
      </c>
      <c r="B104" s="39" t="s">
        <v>279</v>
      </c>
      <c r="C104" s="39" t="s">
        <v>280</v>
      </c>
      <c r="D104" s="39" t="s">
        <v>194</v>
      </c>
      <c r="E104" s="39" t="s">
        <v>281</v>
      </c>
      <c r="F104" s="40">
        <v>4</v>
      </c>
      <c r="G104" s="41"/>
      <c r="H104" s="41"/>
      <c r="I104" s="41"/>
      <c r="J104" s="42">
        <v>1.34E-2</v>
      </c>
      <c r="K104" s="42">
        <f t="shared" si="2"/>
        <v>5.3600000000000002E-2</v>
      </c>
      <c r="L104" s="44"/>
      <c r="M104" s="44" t="s">
        <v>858</v>
      </c>
    </row>
    <row r="105" spans="1:13" s="32" customFormat="1" ht="37" customHeight="1" x14ac:dyDescent="0.3">
      <c r="A105" s="38" t="s">
        <v>191</v>
      </c>
      <c r="B105" s="39" t="s">
        <v>282</v>
      </c>
      <c r="C105" s="39" t="s">
        <v>283</v>
      </c>
      <c r="D105" s="39" t="s">
        <v>194</v>
      </c>
      <c r="E105" s="39" t="s">
        <v>284</v>
      </c>
      <c r="F105" s="40">
        <v>2</v>
      </c>
      <c r="G105" s="41"/>
      <c r="H105" s="41"/>
      <c r="I105" s="41"/>
      <c r="J105" s="42">
        <v>1.34E-2</v>
      </c>
      <c r="K105" s="42">
        <f t="shared" si="2"/>
        <v>2.6800000000000001E-2</v>
      </c>
      <c r="L105" s="44"/>
      <c r="M105" s="44" t="s">
        <v>858</v>
      </c>
    </row>
    <row r="106" spans="1:13" s="32" customFormat="1" ht="37" customHeight="1" x14ac:dyDescent="0.3">
      <c r="A106" s="38" t="s">
        <v>191</v>
      </c>
      <c r="B106" s="39" t="s">
        <v>282</v>
      </c>
      <c r="C106" s="39" t="s">
        <v>285</v>
      </c>
      <c r="D106" s="39" t="s">
        <v>194</v>
      </c>
      <c r="E106" s="39" t="s">
        <v>286</v>
      </c>
      <c r="F106" s="40">
        <v>2</v>
      </c>
      <c r="G106" s="41"/>
      <c r="H106" s="41"/>
      <c r="I106" s="41"/>
      <c r="J106" s="42">
        <v>1.34E-2</v>
      </c>
      <c r="K106" s="42">
        <f t="shared" si="2"/>
        <v>2.6800000000000001E-2</v>
      </c>
      <c r="L106" s="44"/>
      <c r="M106" s="44" t="s">
        <v>858</v>
      </c>
    </row>
    <row r="107" spans="1:13" s="32" customFormat="1" ht="37" customHeight="1" x14ac:dyDescent="0.3">
      <c r="A107" s="38" t="s">
        <v>191</v>
      </c>
      <c r="B107" s="39" t="s">
        <v>872</v>
      </c>
      <c r="C107" s="39" t="s">
        <v>873</v>
      </c>
      <c r="D107" s="39" t="s">
        <v>194</v>
      </c>
      <c r="E107" s="39" t="s">
        <v>874</v>
      </c>
      <c r="F107" s="40">
        <v>4</v>
      </c>
      <c r="G107" s="41"/>
      <c r="H107" s="41"/>
      <c r="I107" s="41"/>
      <c r="J107" s="42">
        <v>5.4999999999999997E-3</v>
      </c>
      <c r="K107" s="42">
        <f t="shared" si="2"/>
        <v>2.1999999999999999E-2</v>
      </c>
      <c r="L107" s="44"/>
      <c r="M107" s="44" t="s">
        <v>858</v>
      </c>
    </row>
    <row r="108" spans="1:13" s="4" customFormat="1" ht="37" customHeight="1" x14ac:dyDescent="0.3">
      <c r="A108" s="37" t="s">
        <v>191</v>
      </c>
      <c r="B108" s="22" t="s">
        <v>287</v>
      </c>
      <c r="C108" s="22" t="s">
        <v>288</v>
      </c>
      <c r="D108" s="22" t="s">
        <v>194</v>
      </c>
      <c r="E108" s="22" t="s">
        <v>289</v>
      </c>
      <c r="F108" s="23">
        <v>4</v>
      </c>
      <c r="G108" s="24"/>
      <c r="H108" s="24"/>
      <c r="I108" s="24"/>
      <c r="J108" s="25">
        <v>1.61E-2</v>
      </c>
      <c r="K108" s="25">
        <v>0</v>
      </c>
      <c r="L108" s="26"/>
      <c r="M108" s="26"/>
    </row>
    <row r="109" spans="1:13" s="32" customFormat="1" ht="37" customHeight="1" x14ac:dyDescent="0.3">
      <c r="A109" s="38"/>
      <c r="B109" s="39" t="s">
        <v>875</v>
      </c>
      <c r="C109" s="39" t="s">
        <v>876</v>
      </c>
      <c r="D109" s="39" t="s">
        <v>194</v>
      </c>
      <c r="E109" s="39" t="s">
        <v>289</v>
      </c>
      <c r="F109" s="40">
        <v>4</v>
      </c>
      <c r="G109" s="41"/>
      <c r="H109" s="41"/>
      <c r="I109" s="41"/>
      <c r="J109" s="42">
        <v>5.4999999999999997E-3</v>
      </c>
      <c r="K109" s="42">
        <f t="shared" si="2"/>
        <v>2.1999999999999999E-2</v>
      </c>
      <c r="L109" s="44"/>
      <c r="M109" s="44" t="s">
        <v>858</v>
      </c>
    </row>
    <row r="110" spans="1:13" s="4" customFormat="1" ht="37" customHeight="1" x14ac:dyDescent="0.3">
      <c r="A110" s="37" t="s">
        <v>191</v>
      </c>
      <c r="B110" s="22" t="s">
        <v>290</v>
      </c>
      <c r="C110" s="22" t="s">
        <v>291</v>
      </c>
      <c r="D110" s="22" t="s">
        <v>194</v>
      </c>
      <c r="E110" s="22" t="s">
        <v>292</v>
      </c>
      <c r="F110" s="23">
        <v>4</v>
      </c>
      <c r="G110" s="24"/>
      <c r="H110" s="24"/>
      <c r="I110" s="24"/>
      <c r="J110" s="25">
        <v>1.61E-2</v>
      </c>
      <c r="K110" s="25">
        <v>0</v>
      </c>
      <c r="L110" s="26"/>
      <c r="M110" s="26"/>
    </row>
    <row r="111" spans="1:13" s="32" customFormat="1" ht="37" customHeight="1" x14ac:dyDescent="0.3">
      <c r="A111" s="38"/>
      <c r="B111" s="39" t="s">
        <v>877</v>
      </c>
      <c r="C111" s="39" t="s">
        <v>878</v>
      </c>
      <c r="D111" s="39" t="s">
        <v>194</v>
      </c>
      <c r="E111" s="39" t="s">
        <v>292</v>
      </c>
      <c r="F111" s="40">
        <v>4</v>
      </c>
      <c r="G111" s="41"/>
      <c r="H111" s="41"/>
      <c r="I111" s="41"/>
      <c r="J111" s="42">
        <v>5.4999999999999997E-3</v>
      </c>
      <c r="K111" s="42">
        <f t="shared" si="2"/>
        <v>2.1999999999999999E-2</v>
      </c>
      <c r="L111" s="44"/>
      <c r="M111" s="44" t="s">
        <v>858</v>
      </c>
    </row>
    <row r="112" spans="1:13" s="4" customFormat="1" ht="37" customHeight="1" x14ac:dyDescent="0.3">
      <c r="A112" s="37" t="s">
        <v>191</v>
      </c>
      <c r="B112" s="22" t="s">
        <v>293</v>
      </c>
      <c r="C112" s="22" t="s">
        <v>294</v>
      </c>
      <c r="D112" s="22" t="s">
        <v>194</v>
      </c>
      <c r="E112" s="22" t="s">
        <v>295</v>
      </c>
      <c r="F112" s="23">
        <v>4</v>
      </c>
      <c r="G112" s="24"/>
      <c r="H112" s="24"/>
      <c r="I112" s="24"/>
      <c r="J112" s="25">
        <v>1.61E-2</v>
      </c>
      <c r="K112" s="25">
        <v>0</v>
      </c>
      <c r="L112" s="26"/>
      <c r="M112" s="26"/>
    </row>
    <row r="113" spans="1:13" s="32" customFormat="1" ht="37" customHeight="1" x14ac:dyDescent="0.3">
      <c r="A113" s="38"/>
      <c r="B113" s="39" t="s">
        <v>879</v>
      </c>
      <c r="C113" s="39" t="s">
        <v>880</v>
      </c>
      <c r="D113" s="39" t="s">
        <v>194</v>
      </c>
      <c r="E113" s="39" t="s">
        <v>295</v>
      </c>
      <c r="F113" s="40">
        <v>4</v>
      </c>
      <c r="G113" s="41"/>
      <c r="H113" s="41"/>
      <c r="I113" s="41"/>
      <c r="J113" s="42">
        <v>5.4999999999999997E-3</v>
      </c>
      <c r="K113" s="42">
        <f t="shared" si="2"/>
        <v>2.1999999999999999E-2</v>
      </c>
      <c r="L113" s="44"/>
      <c r="M113" s="44" t="s">
        <v>858</v>
      </c>
    </row>
    <row r="114" spans="1:13" s="32" customFormat="1" ht="37" customHeight="1" x14ac:dyDescent="0.3">
      <c r="A114" s="38" t="s">
        <v>191</v>
      </c>
      <c r="B114" s="39" t="s">
        <v>296</v>
      </c>
      <c r="C114" s="39" t="s">
        <v>297</v>
      </c>
      <c r="D114" s="39" t="s">
        <v>194</v>
      </c>
      <c r="E114" s="39" t="s">
        <v>298</v>
      </c>
      <c r="F114" s="40">
        <v>2</v>
      </c>
      <c r="G114" s="41"/>
      <c r="H114" s="41"/>
      <c r="I114" s="41"/>
      <c r="J114" s="42">
        <v>5.4999999999999997E-3</v>
      </c>
      <c r="K114" s="42">
        <f t="shared" si="2"/>
        <v>1.0999999999999999E-2</v>
      </c>
      <c r="L114" s="44"/>
      <c r="M114" s="44" t="s">
        <v>858</v>
      </c>
    </row>
    <row r="115" spans="1:13" s="4" customFormat="1" ht="37" customHeight="1" x14ac:dyDescent="0.3">
      <c r="A115" s="37" t="s">
        <v>191</v>
      </c>
      <c r="B115" s="22" t="s">
        <v>299</v>
      </c>
      <c r="C115" s="22" t="s">
        <v>300</v>
      </c>
      <c r="D115" s="22" t="s">
        <v>189</v>
      </c>
      <c r="E115" s="22" t="s">
        <v>301</v>
      </c>
      <c r="F115" s="23">
        <v>1</v>
      </c>
      <c r="G115" s="24"/>
      <c r="H115" s="24"/>
      <c r="I115" s="24"/>
      <c r="J115" s="25">
        <v>1.15E-2</v>
      </c>
      <c r="K115" s="25">
        <v>0</v>
      </c>
      <c r="L115" s="36" t="s">
        <v>855</v>
      </c>
      <c r="M115" s="26"/>
    </row>
    <row r="116" spans="1:13" s="4" customFormat="1" ht="37" customHeight="1" x14ac:dyDescent="0.3">
      <c r="A116" s="37" t="s">
        <v>191</v>
      </c>
      <c r="B116" s="22" t="s">
        <v>302</v>
      </c>
      <c r="C116" s="22" t="s">
        <v>303</v>
      </c>
      <c r="D116" s="22" t="s">
        <v>189</v>
      </c>
      <c r="E116" s="22" t="s">
        <v>304</v>
      </c>
      <c r="F116" s="23">
        <v>4</v>
      </c>
      <c r="G116" s="24"/>
      <c r="H116" s="24"/>
      <c r="I116" s="24"/>
      <c r="J116" s="25">
        <v>1.15E-2</v>
      </c>
      <c r="K116" s="25">
        <v>0</v>
      </c>
      <c r="L116" s="36" t="s">
        <v>855</v>
      </c>
      <c r="M116" s="26"/>
    </row>
    <row r="117" spans="1:13" ht="37" customHeight="1" x14ac:dyDescent="0.3">
      <c r="A117" s="1"/>
      <c r="B117" s="2" t="s">
        <v>305</v>
      </c>
      <c r="C117" s="2" t="s">
        <v>80</v>
      </c>
      <c r="D117" s="2" t="s">
        <v>189</v>
      </c>
      <c r="E117" s="2" t="s">
        <v>306</v>
      </c>
      <c r="F117" s="13">
        <v>43</v>
      </c>
      <c r="G117" s="1"/>
      <c r="H117" s="1"/>
      <c r="I117" s="1"/>
      <c r="J117" s="14">
        <v>1.2999999999999999E-3</v>
      </c>
      <c r="K117" s="14">
        <f>J117*F117</f>
        <v>5.5899999999999998E-2</v>
      </c>
      <c r="L117" s="15"/>
      <c r="M117" s="15"/>
    </row>
    <row r="118" spans="1:13" ht="37" customHeight="1" x14ac:dyDescent="0.3">
      <c r="A118" s="1"/>
      <c r="B118" s="2" t="s">
        <v>307</v>
      </c>
      <c r="C118" s="2" t="s">
        <v>91</v>
      </c>
      <c r="D118" s="2" t="s">
        <v>189</v>
      </c>
      <c r="E118" s="2" t="s">
        <v>308</v>
      </c>
      <c r="F118" s="13">
        <v>4</v>
      </c>
      <c r="G118" s="1"/>
      <c r="H118" s="1"/>
      <c r="I118" s="1"/>
      <c r="J118" s="14">
        <v>1.2999999999999999E-3</v>
      </c>
      <c r="K118" s="14">
        <f>J118*F118</f>
        <v>5.1999999999999998E-3</v>
      </c>
      <c r="L118" s="15"/>
      <c r="M118" s="15"/>
    </row>
    <row r="119" spans="1:13" ht="37" customHeight="1" x14ac:dyDescent="0.3">
      <c r="A119" s="1"/>
      <c r="B119" s="2" t="s">
        <v>309</v>
      </c>
      <c r="C119" s="2" t="s">
        <v>310</v>
      </c>
      <c r="D119" s="2" t="s">
        <v>189</v>
      </c>
      <c r="E119" s="2" t="s">
        <v>311</v>
      </c>
      <c r="F119" s="13">
        <v>2</v>
      </c>
      <c r="G119" s="1"/>
      <c r="H119" s="1"/>
      <c r="I119" s="1"/>
      <c r="J119" s="14">
        <v>1.2999999999999999E-3</v>
      </c>
      <c r="K119" s="14">
        <f>J119*F119</f>
        <v>2.5999999999999999E-3</v>
      </c>
      <c r="L119" s="15"/>
      <c r="M119" s="15"/>
    </row>
    <row r="120" spans="1:13" ht="37" customHeight="1" x14ac:dyDescent="0.3">
      <c r="A120" s="1"/>
      <c r="B120" s="2" t="s">
        <v>312</v>
      </c>
      <c r="C120" s="2" t="s">
        <v>313</v>
      </c>
      <c r="D120" s="2" t="s">
        <v>189</v>
      </c>
      <c r="E120" s="2" t="s">
        <v>314</v>
      </c>
      <c r="F120" s="13">
        <v>1</v>
      </c>
      <c r="G120" s="1"/>
      <c r="H120" s="1"/>
      <c r="I120" s="1"/>
      <c r="J120" s="14">
        <v>1.2999999999999999E-3</v>
      </c>
      <c r="K120" s="14">
        <f>J120*F120</f>
        <v>1.2999999999999999E-3</v>
      </c>
      <c r="L120" s="15"/>
      <c r="M120" s="15"/>
    </row>
    <row r="121" spans="1:13" ht="37" customHeight="1" x14ac:dyDescent="0.3">
      <c r="A121" s="1"/>
      <c r="B121" s="2" t="s">
        <v>315</v>
      </c>
      <c r="C121" s="2" t="s">
        <v>45</v>
      </c>
      <c r="D121" s="2" t="s">
        <v>194</v>
      </c>
      <c r="E121" s="45" t="s">
        <v>881</v>
      </c>
      <c r="F121" s="13">
        <v>1</v>
      </c>
      <c r="G121" s="1"/>
      <c r="H121" s="1"/>
      <c r="I121" s="1"/>
      <c r="J121" s="14">
        <v>1.2999999999999999E-3</v>
      </c>
      <c r="K121" s="14">
        <f t="shared" ref="K121:K125" si="3">J121*F121</f>
        <v>1.2999999999999999E-3</v>
      </c>
      <c r="L121" s="15"/>
      <c r="M121" s="15"/>
    </row>
    <row r="122" spans="1:13" ht="37" customHeight="1" x14ac:dyDescent="0.3">
      <c r="A122" s="1"/>
      <c r="B122" s="2" t="s">
        <v>317</v>
      </c>
      <c r="C122" s="2" t="s">
        <v>318</v>
      </c>
      <c r="D122" s="2" t="s">
        <v>189</v>
      </c>
      <c r="E122" s="2" t="s">
        <v>319</v>
      </c>
      <c r="F122" s="13">
        <v>3</v>
      </c>
      <c r="G122" s="1"/>
      <c r="H122" s="1"/>
      <c r="I122" s="1"/>
      <c r="J122" s="14">
        <v>1.2999999999999999E-3</v>
      </c>
      <c r="K122" s="14">
        <f t="shared" si="3"/>
        <v>3.8999999999999998E-3</v>
      </c>
      <c r="L122" s="15"/>
      <c r="M122" s="15"/>
    </row>
    <row r="123" spans="1:13" ht="37" customHeight="1" x14ac:dyDescent="0.3">
      <c r="A123" s="1"/>
      <c r="B123" s="2" t="s">
        <v>320</v>
      </c>
      <c r="C123" s="2" t="s">
        <v>61</v>
      </c>
      <c r="D123" s="2" t="s">
        <v>194</v>
      </c>
      <c r="E123" s="2" t="s">
        <v>321</v>
      </c>
      <c r="F123" s="13">
        <v>1</v>
      </c>
      <c r="G123" s="1"/>
      <c r="H123" s="1"/>
      <c r="I123" s="1"/>
      <c r="J123" s="14">
        <v>1.2999999999999999E-3</v>
      </c>
      <c r="K123" s="14">
        <f t="shared" si="3"/>
        <v>1.2999999999999999E-3</v>
      </c>
      <c r="L123" s="15"/>
      <c r="M123" s="15"/>
    </row>
    <row r="124" spans="1:13" ht="37" customHeight="1" x14ac:dyDescent="0.3">
      <c r="A124" s="1"/>
      <c r="B124" s="2" t="s">
        <v>322</v>
      </c>
      <c r="C124" s="2" t="s">
        <v>163</v>
      </c>
      <c r="D124" s="2" t="s">
        <v>194</v>
      </c>
      <c r="E124" s="2" t="s">
        <v>323</v>
      </c>
      <c r="F124" s="13">
        <v>1</v>
      </c>
      <c r="G124" s="1"/>
      <c r="H124" s="1"/>
      <c r="I124" s="1"/>
      <c r="J124" s="14">
        <v>1.2999999999999999E-3</v>
      </c>
      <c r="K124" s="14">
        <f t="shared" si="3"/>
        <v>1.2999999999999999E-3</v>
      </c>
      <c r="L124" s="15"/>
      <c r="M124" s="15"/>
    </row>
    <row r="125" spans="1:13" s="32" customFormat="1" ht="37" customHeight="1" x14ac:dyDescent="0.3">
      <c r="A125" s="38"/>
      <c r="B125" s="39" t="s">
        <v>882</v>
      </c>
      <c r="C125" s="39" t="s">
        <v>883</v>
      </c>
      <c r="D125" s="39" t="s">
        <v>194</v>
      </c>
      <c r="E125" s="39" t="s">
        <v>884</v>
      </c>
      <c r="F125" s="40">
        <v>4</v>
      </c>
      <c r="G125" s="41"/>
      <c r="H125" s="41"/>
      <c r="I125" s="41"/>
      <c r="J125" s="42">
        <v>5.4999999999999997E-3</v>
      </c>
      <c r="K125" s="42">
        <f t="shared" si="3"/>
        <v>2.1999999999999999E-2</v>
      </c>
      <c r="L125" s="44"/>
      <c r="M125" s="44" t="s">
        <v>858</v>
      </c>
    </row>
    <row r="126" spans="1:13" s="4" customFormat="1" ht="37" customHeight="1" x14ac:dyDescent="0.3">
      <c r="A126" s="37" t="s">
        <v>191</v>
      </c>
      <c r="B126" s="22" t="s">
        <v>324</v>
      </c>
      <c r="C126" s="22" t="s">
        <v>325</v>
      </c>
      <c r="D126" s="22" t="s">
        <v>189</v>
      </c>
      <c r="E126" s="22" t="s">
        <v>326</v>
      </c>
      <c r="F126" s="23">
        <v>8</v>
      </c>
      <c r="G126" s="24"/>
      <c r="H126" s="24"/>
      <c r="I126" s="24"/>
      <c r="J126" s="25">
        <v>9.5999999999999992E-3</v>
      </c>
      <c r="K126" s="25">
        <v>0</v>
      </c>
      <c r="L126" s="36" t="s">
        <v>855</v>
      </c>
      <c r="M126" s="26"/>
    </row>
    <row r="127" spans="1:13" s="32" customFormat="1" ht="37" customHeight="1" x14ac:dyDescent="0.3">
      <c r="A127" s="38" t="s">
        <v>191</v>
      </c>
      <c r="B127" s="39" t="s">
        <v>885</v>
      </c>
      <c r="C127" s="39" t="s">
        <v>886</v>
      </c>
      <c r="D127" s="39" t="s">
        <v>189</v>
      </c>
      <c r="E127" s="39" t="s">
        <v>326</v>
      </c>
      <c r="F127" s="40">
        <v>16</v>
      </c>
      <c r="G127" s="41"/>
      <c r="H127" s="41"/>
      <c r="I127" s="41"/>
      <c r="J127" s="42">
        <v>5.4999999999999997E-3</v>
      </c>
      <c r="K127" s="42">
        <f>J127*F127</f>
        <v>8.7999999999999995E-2</v>
      </c>
      <c r="L127" s="43" t="s">
        <v>887</v>
      </c>
      <c r="M127" s="44" t="s">
        <v>858</v>
      </c>
    </row>
    <row r="128" spans="1:13" s="32" customFormat="1" ht="37" customHeight="1" x14ac:dyDescent="0.3">
      <c r="A128" s="38" t="s">
        <v>191</v>
      </c>
      <c r="B128" s="39" t="s">
        <v>888</v>
      </c>
      <c r="C128" s="39" t="s">
        <v>889</v>
      </c>
      <c r="D128" s="39" t="s">
        <v>194</v>
      </c>
      <c r="E128" s="39" t="s">
        <v>329</v>
      </c>
      <c r="F128" s="40">
        <v>4</v>
      </c>
      <c r="G128" s="41"/>
      <c r="H128" s="41"/>
      <c r="I128" s="41"/>
      <c r="J128" s="42">
        <v>5.4999999999999997E-3</v>
      </c>
      <c r="K128" s="42">
        <f>J128*F128</f>
        <v>2.1999999999999999E-2</v>
      </c>
      <c r="L128" s="43" t="s">
        <v>890</v>
      </c>
      <c r="M128" s="44" t="s">
        <v>858</v>
      </c>
    </row>
    <row r="129" spans="1:13" s="32" customFormat="1" ht="37" customHeight="1" x14ac:dyDescent="0.3">
      <c r="A129" s="38" t="s">
        <v>191</v>
      </c>
      <c r="B129" s="39" t="s">
        <v>891</v>
      </c>
      <c r="C129" s="39" t="s">
        <v>892</v>
      </c>
      <c r="D129" s="39" t="s">
        <v>194</v>
      </c>
      <c r="E129" s="39" t="s">
        <v>893</v>
      </c>
      <c r="F129" s="40">
        <v>4</v>
      </c>
      <c r="G129" s="41"/>
      <c r="H129" s="41"/>
      <c r="I129" s="41"/>
      <c r="J129" s="42">
        <v>5.4999999999999997E-3</v>
      </c>
      <c r="K129" s="42">
        <f>J129*F129</f>
        <v>2.1999999999999999E-2</v>
      </c>
      <c r="L129" s="43" t="s">
        <v>890</v>
      </c>
      <c r="M129" s="44" t="s">
        <v>858</v>
      </c>
    </row>
    <row r="130" spans="1:13" ht="37" customHeight="1" x14ac:dyDescent="0.3">
      <c r="A130" s="46" t="s">
        <v>191</v>
      </c>
      <c r="B130" s="47" t="s">
        <v>330</v>
      </c>
      <c r="C130" s="2" t="s">
        <v>331</v>
      </c>
      <c r="D130" s="2" t="s">
        <v>332</v>
      </c>
      <c r="E130" s="2" t="s">
        <v>333</v>
      </c>
      <c r="F130" s="13">
        <v>4</v>
      </c>
      <c r="G130" s="1"/>
      <c r="H130" s="1"/>
      <c r="I130" s="1"/>
      <c r="J130" s="14">
        <v>1.55E-2</v>
      </c>
      <c r="K130" s="14">
        <f>J130*F130</f>
        <v>6.2E-2</v>
      </c>
      <c r="L130" s="15"/>
      <c r="M130" s="15"/>
    </row>
    <row r="131" spans="1:13" s="4" customFormat="1" ht="37" customHeight="1" x14ac:dyDescent="0.3">
      <c r="A131" s="37" t="s">
        <v>191</v>
      </c>
      <c r="B131" s="48" t="s">
        <v>334</v>
      </c>
      <c r="C131" s="22" t="s">
        <v>335</v>
      </c>
      <c r="D131" s="22" t="s">
        <v>336</v>
      </c>
      <c r="E131" s="22" t="s">
        <v>337</v>
      </c>
      <c r="F131" s="23">
        <v>4</v>
      </c>
      <c r="G131" s="24"/>
      <c r="H131" s="24"/>
      <c r="I131" s="24"/>
      <c r="J131" s="25">
        <v>1.1599999999999999E-2</v>
      </c>
      <c r="K131" s="25">
        <v>0</v>
      </c>
      <c r="L131" s="26"/>
      <c r="M131" s="26"/>
    </row>
    <row r="132" spans="1:13" s="32" customFormat="1" ht="37" customHeight="1" x14ac:dyDescent="0.3">
      <c r="A132" s="41"/>
      <c r="B132" s="39" t="s">
        <v>894</v>
      </c>
      <c r="C132" s="39" t="s">
        <v>895</v>
      </c>
      <c r="D132" s="39" t="s">
        <v>194</v>
      </c>
      <c r="E132" s="39"/>
      <c r="F132" s="40">
        <v>4</v>
      </c>
      <c r="G132" s="41"/>
      <c r="H132" s="41"/>
      <c r="I132" s="41"/>
      <c r="J132" s="42">
        <v>1.34E-2</v>
      </c>
      <c r="K132" s="42">
        <f t="shared" ref="K132:K138" si="4">J132*F132</f>
        <v>5.3600000000000002E-2</v>
      </c>
      <c r="L132" s="43" t="s">
        <v>890</v>
      </c>
      <c r="M132" s="44" t="s">
        <v>896</v>
      </c>
    </row>
    <row r="133" spans="1:13" s="32" customFormat="1" ht="37" customHeight="1" x14ac:dyDescent="0.3">
      <c r="A133" s="41"/>
      <c r="B133" s="39" t="s">
        <v>897</v>
      </c>
      <c r="C133" s="39" t="s">
        <v>898</v>
      </c>
      <c r="D133" s="39" t="s">
        <v>194</v>
      </c>
      <c r="E133" s="39"/>
      <c r="F133" s="40">
        <v>4</v>
      </c>
      <c r="G133" s="41"/>
      <c r="H133" s="41"/>
      <c r="I133" s="41"/>
      <c r="J133" s="42">
        <v>1.34E-2</v>
      </c>
      <c r="K133" s="42">
        <f t="shared" si="4"/>
        <v>5.3600000000000002E-2</v>
      </c>
      <c r="L133" s="43" t="s">
        <v>890</v>
      </c>
      <c r="M133" s="44" t="s">
        <v>896</v>
      </c>
    </row>
    <row r="134" spans="1:13" ht="37" customHeight="1" x14ac:dyDescent="0.3">
      <c r="A134" s="1"/>
      <c r="B134" s="2" t="s">
        <v>338</v>
      </c>
      <c r="C134" s="2" t="s">
        <v>339</v>
      </c>
      <c r="D134" s="2" t="s">
        <v>336</v>
      </c>
      <c r="E134" s="2" t="s">
        <v>340</v>
      </c>
      <c r="F134" s="13">
        <v>1</v>
      </c>
      <c r="G134" s="1" t="s">
        <v>341</v>
      </c>
      <c r="H134" s="1">
        <v>4000</v>
      </c>
      <c r="I134" s="1"/>
      <c r="J134" s="14">
        <v>2.92E-2</v>
      </c>
      <c r="K134" s="14">
        <f t="shared" si="4"/>
        <v>2.92E-2</v>
      </c>
      <c r="L134" s="15"/>
      <c r="M134" s="15"/>
    </row>
    <row r="135" spans="1:13" ht="37" customHeight="1" x14ac:dyDescent="0.3">
      <c r="A135" s="1"/>
      <c r="B135" s="2" t="s">
        <v>343</v>
      </c>
      <c r="C135" s="2">
        <v>0</v>
      </c>
      <c r="D135" s="2" t="s">
        <v>336</v>
      </c>
      <c r="E135" s="2" t="s">
        <v>344</v>
      </c>
      <c r="F135" s="13">
        <v>2</v>
      </c>
      <c r="G135" s="1"/>
      <c r="H135" s="1"/>
      <c r="I135" s="1"/>
      <c r="J135" s="14">
        <v>2.8E-3</v>
      </c>
      <c r="K135" s="14">
        <f t="shared" si="4"/>
        <v>5.5999999999999999E-3</v>
      </c>
      <c r="L135" s="15"/>
      <c r="M135" s="15"/>
    </row>
    <row r="136" spans="1:13" ht="37" customHeight="1" x14ac:dyDescent="0.3">
      <c r="A136" s="1"/>
      <c r="B136" s="2" t="s">
        <v>345</v>
      </c>
      <c r="C136" s="2" t="s">
        <v>346</v>
      </c>
      <c r="D136" s="2" t="s">
        <v>336</v>
      </c>
      <c r="E136" s="2" t="s">
        <v>347</v>
      </c>
      <c r="F136" s="13">
        <v>4</v>
      </c>
      <c r="G136" s="1"/>
      <c r="H136" s="1"/>
      <c r="I136" s="1"/>
      <c r="J136" s="14">
        <v>2.8E-3</v>
      </c>
      <c r="K136" s="14">
        <f t="shared" si="4"/>
        <v>1.12E-2</v>
      </c>
      <c r="L136" s="15"/>
      <c r="M136" s="15"/>
    </row>
    <row r="137" spans="1:13" ht="37" customHeight="1" x14ac:dyDescent="0.3">
      <c r="A137" s="1"/>
      <c r="B137" s="2" t="s">
        <v>348</v>
      </c>
      <c r="C137" s="2" t="s">
        <v>45</v>
      </c>
      <c r="D137" s="2" t="s">
        <v>336</v>
      </c>
      <c r="E137" s="2" t="s">
        <v>349</v>
      </c>
      <c r="F137" s="13">
        <v>3</v>
      </c>
      <c r="G137" s="1"/>
      <c r="H137" s="1"/>
      <c r="I137" s="1"/>
      <c r="J137" s="14">
        <v>2.8E-3</v>
      </c>
      <c r="K137" s="14">
        <f t="shared" si="4"/>
        <v>8.3999999999999995E-3</v>
      </c>
      <c r="L137" s="15"/>
      <c r="M137" s="15"/>
    </row>
    <row r="138" spans="1:13" ht="37" customHeight="1" x14ac:dyDescent="0.3">
      <c r="A138" s="1"/>
      <c r="B138" s="2" t="s">
        <v>350</v>
      </c>
      <c r="C138" s="2" t="s">
        <v>331</v>
      </c>
      <c r="D138" s="2" t="s">
        <v>332</v>
      </c>
      <c r="E138" s="2" t="s">
        <v>333</v>
      </c>
      <c r="F138" s="13">
        <v>4</v>
      </c>
      <c r="G138" s="1"/>
      <c r="H138" s="1"/>
      <c r="I138" s="1"/>
      <c r="J138" s="14">
        <v>1.55E-2</v>
      </c>
      <c r="K138" s="14">
        <f t="shared" si="4"/>
        <v>6.2E-2</v>
      </c>
      <c r="L138" s="15"/>
      <c r="M138" s="15"/>
    </row>
    <row r="139" spans="1:13" ht="37" customHeight="1" x14ac:dyDescent="0.3">
      <c r="A139" s="1">
        <v>111474999</v>
      </c>
      <c r="B139" s="2" t="s">
        <v>351</v>
      </c>
      <c r="C139" s="2" t="s">
        <v>352</v>
      </c>
      <c r="D139" s="2" t="s">
        <v>353</v>
      </c>
      <c r="E139" s="2" t="s">
        <v>354</v>
      </c>
      <c r="F139" s="13">
        <v>4</v>
      </c>
      <c r="G139" s="1"/>
      <c r="H139" s="1"/>
      <c r="I139" s="1"/>
      <c r="J139" s="14">
        <v>3.78E-2</v>
      </c>
      <c r="K139" s="14">
        <f t="shared" ref="K139:K202" si="5">J139*F139</f>
        <v>0.1512</v>
      </c>
      <c r="L139" s="15"/>
      <c r="M139" s="15"/>
    </row>
    <row r="140" spans="1:13" ht="37" customHeight="1" x14ac:dyDescent="0.3">
      <c r="A140" s="1">
        <v>511079100</v>
      </c>
      <c r="B140" s="2" t="s">
        <v>355</v>
      </c>
      <c r="C140" s="2" t="s">
        <v>356</v>
      </c>
      <c r="D140" s="2" t="s">
        <v>357</v>
      </c>
      <c r="E140" s="2" t="s">
        <v>358</v>
      </c>
      <c r="F140" s="13">
        <v>1</v>
      </c>
      <c r="G140" s="1"/>
      <c r="H140" s="1"/>
      <c r="I140" s="1"/>
      <c r="J140" s="14">
        <v>1.26E-2</v>
      </c>
      <c r="K140" s="14">
        <f t="shared" si="5"/>
        <v>1.26E-2</v>
      </c>
      <c r="L140" s="15"/>
      <c r="M140" s="15"/>
    </row>
    <row r="141" spans="1:13" ht="37" customHeight="1" x14ac:dyDescent="0.3">
      <c r="A141" s="1"/>
      <c r="B141" s="2" t="s">
        <v>359</v>
      </c>
      <c r="C141" s="2" t="s">
        <v>356</v>
      </c>
      <c r="D141" s="2" t="s">
        <v>357</v>
      </c>
      <c r="E141" s="2" t="s">
        <v>360</v>
      </c>
      <c r="F141" s="13">
        <v>1</v>
      </c>
      <c r="G141" s="1" t="s">
        <v>361</v>
      </c>
      <c r="H141" s="1">
        <v>3000</v>
      </c>
      <c r="I141" s="1">
        <v>42</v>
      </c>
      <c r="J141" s="14">
        <v>2.86E-2</v>
      </c>
      <c r="K141" s="14">
        <f t="shared" si="5"/>
        <v>2.86E-2</v>
      </c>
      <c r="L141" s="15"/>
      <c r="M141" s="15"/>
    </row>
    <row r="142" spans="1:13" ht="37" customHeight="1" x14ac:dyDescent="0.3">
      <c r="A142" s="1"/>
      <c r="B142" s="2" t="s">
        <v>362</v>
      </c>
      <c r="C142" s="2" t="s">
        <v>80</v>
      </c>
      <c r="D142" s="2" t="s">
        <v>353</v>
      </c>
      <c r="E142" s="2" t="s">
        <v>363</v>
      </c>
      <c r="F142" s="13">
        <v>1</v>
      </c>
      <c r="G142" s="1"/>
      <c r="H142" s="1"/>
      <c r="I142" s="1"/>
      <c r="J142" s="14">
        <v>3.0000000000000001E-3</v>
      </c>
      <c r="K142" s="14">
        <f t="shared" si="5"/>
        <v>3.0000000000000001E-3</v>
      </c>
      <c r="L142" s="15"/>
      <c r="M142" s="15"/>
    </row>
    <row r="143" spans="1:13" ht="37" customHeight="1" x14ac:dyDescent="0.3">
      <c r="A143" s="1"/>
      <c r="B143" s="2" t="s">
        <v>364</v>
      </c>
      <c r="C143" s="2" t="s">
        <v>365</v>
      </c>
      <c r="D143" s="2" t="s">
        <v>353</v>
      </c>
      <c r="E143" s="2" t="s">
        <v>366</v>
      </c>
      <c r="F143" s="13">
        <v>6</v>
      </c>
      <c r="G143" s="1"/>
      <c r="H143" s="1"/>
      <c r="I143" s="1"/>
      <c r="J143" s="14">
        <v>3.0000000000000001E-3</v>
      </c>
      <c r="K143" s="14">
        <f t="shared" si="5"/>
        <v>1.8000000000000002E-2</v>
      </c>
      <c r="L143" s="15"/>
      <c r="M143" s="15"/>
    </row>
    <row r="144" spans="1:13" ht="37" customHeight="1" x14ac:dyDescent="0.3">
      <c r="A144" s="1"/>
      <c r="B144" s="2" t="s">
        <v>367</v>
      </c>
      <c r="C144" s="2" t="s">
        <v>368</v>
      </c>
      <c r="D144" s="2" t="s">
        <v>353</v>
      </c>
      <c r="E144" s="2" t="s">
        <v>369</v>
      </c>
      <c r="F144" s="13">
        <v>4</v>
      </c>
      <c r="G144" s="1"/>
      <c r="H144" s="1"/>
      <c r="I144" s="1"/>
      <c r="J144" s="14">
        <v>3.78E-2</v>
      </c>
      <c r="K144" s="14">
        <f t="shared" si="5"/>
        <v>0.1512</v>
      </c>
      <c r="L144" s="15"/>
      <c r="M144" s="15"/>
    </row>
    <row r="145" spans="1:13" s="4" customFormat="1" ht="37" customHeight="1" x14ac:dyDescent="0.3">
      <c r="A145" s="21">
        <v>214104104</v>
      </c>
      <c r="B145" s="22" t="s">
        <v>899</v>
      </c>
      <c r="C145" s="22" t="s">
        <v>371</v>
      </c>
      <c r="D145" s="22" t="s">
        <v>372</v>
      </c>
      <c r="E145" s="22" t="s">
        <v>373</v>
      </c>
      <c r="F145" s="23">
        <v>36</v>
      </c>
      <c r="G145" s="24"/>
      <c r="H145" s="24"/>
      <c r="I145" s="24"/>
      <c r="J145" s="25">
        <v>2E-3</v>
      </c>
      <c r="K145" s="25">
        <v>0</v>
      </c>
      <c r="L145" s="26"/>
      <c r="M145" s="26"/>
    </row>
    <row r="146" spans="1:13" s="4" customFormat="1" ht="37" customHeight="1" x14ac:dyDescent="0.3">
      <c r="A146" s="24">
        <v>214104104</v>
      </c>
      <c r="B146" s="22" t="s">
        <v>899</v>
      </c>
      <c r="C146" s="22" t="s">
        <v>371</v>
      </c>
      <c r="D146" s="22" t="s">
        <v>374</v>
      </c>
      <c r="E146" s="22" t="s">
        <v>375</v>
      </c>
      <c r="F146" s="23">
        <v>20</v>
      </c>
      <c r="G146" s="24"/>
      <c r="H146" s="24"/>
      <c r="I146" s="24"/>
      <c r="J146" s="25">
        <v>2E-3</v>
      </c>
      <c r="K146" s="25">
        <v>0</v>
      </c>
      <c r="L146" s="26"/>
      <c r="M146" s="26"/>
    </row>
    <row r="147" spans="1:13" s="32" customFormat="1" ht="37" customHeight="1" x14ac:dyDescent="0.3">
      <c r="A147" s="41"/>
      <c r="B147" s="39" t="s">
        <v>900</v>
      </c>
      <c r="C147" s="39" t="s">
        <v>371</v>
      </c>
      <c r="D147" s="39" t="s">
        <v>374</v>
      </c>
      <c r="E147" s="39" t="s">
        <v>901</v>
      </c>
      <c r="F147" s="40">
        <v>56</v>
      </c>
      <c r="G147" s="41"/>
      <c r="H147" s="41"/>
      <c r="I147" s="41"/>
      <c r="J147" s="42">
        <v>1.5E-3</v>
      </c>
      <c r="K147" s="42">
        <f t="shared" si="5"/>
        <v>8.4000000000000005E-2</v>
      </c>
      <c r="L147" s="44"/>
      <c r="M147" s="44" t="s">
        <v>902</v>
      </c>
    </row>
    <row r="148" spans="1:13" ht="37" customHeight="1" x14ac:dyDescent="0.3">
      <c r="A148" s="1"/>
      <c r="B148" s="2" t="s">
        <v>376</v>
      </c>
      <c r="C148" s="2" t="s">
        <v>377</v>
      </c>
      <c r="D148" s="2" t="s">
        <v>372</v>
      </c>
      <c r="E148" s="2" t="s">
        <v>378</v>
      </c>
      <c r="F148" s="13">
        <v>2</v>
      </c>
      <c r="G148" s="1"/>
      <c r="H148" s="1"/>
      <c r="I148" s="1"/>
      <c r="J148" s="14">
        <v>1.5E-3</v>
      </c>
      <c r="K148" s="14">
        <f t="shared" si="5"/>
        <v>3.0000000000000001E-3</v>
      </c>
      <c r="L148" s="15"/>
      <c r="M148" s="15"/>
    </row>
    <row r="149" spans="1:13" ht="37" customHeight="1" x14ac:dyDescent="0.3">
      <c r="A149" s="1"/>
      <c r="B149" s="2" t="s">
        <v>376</v>
      </c>
      <c r="C149" s="2" t="s">
        <v>377</v>
      </c>
      <c r="D149" s="2" t="s">
        <v>374</v>
      </c>
      <c r="E149" s="2" t="s">
        <v>379</v>
      </c>
      <c r="F149" s="13">
        <v>1</v>
      </c>
      <c r="G149" s="1"/>
      <c r="H149" s="1"/>
      <c r="I149" s="1"/>
      <c r="J149" s="14">
        <v>1.5E-3</v>
      </c>
      <c r="K149" s="14">
        <f t="shared" si="5"/>
        <v>1.5E-3</v>
      </c>
      <c r="L149" s="15"/>
      <c r="M149" s="15"/>
    </row>
    <row r="150" spans="1:13" ht="37" customHeight="1" x14ac:dyDescent="0.3">
      <c r="A150" s="1"/>
      <c r="B150" s="2" t="s">
        <v>380</v>
      </c>
      <c r="C150" s="2" t="s">
        <v>381</v>
      </c>
      <c r="D150" s="2" t="s">
        <v>374</v>
      </c>
      <c r="E150" s="2" t="s">
        <v>382</v>
      </c>
      <c r="F150" s="13">
        <v>2</v>
      </c>
      <c r="G150" s="1"/>
      <c r="H150" s="1"/>
      <c r="I150" s="1"/>
      <c r="J150" s="14">
        <v>1.5E-3</v>
      </c>
      <c r="K150" s="14">
        <f t="shared" si="5"/>
        <v>3.0000000000000001E-3</v>
      </c>
      <c r="L150" s="15"/>
      <c r="M150" s="15"/>
    </row>
    <row r="151" spans="1:13" ht="37" customHeight="1" x14ac:dyDescent="0.3">
      <c r="A151" s="1"/>
      <c r="B151" s="2" t="s">
        <v>383</v>
      </c>
      <c r="C151" s="2" t="s">
        <v>384</v>
      </c>
      <c r="D151" s="2" t="s">
        <v>374</v>
      </c>
      <c r="E151" s="2" t="s">
        <v>385</v>
      </c>
      <c r="F151" s="13">
        <v>4</v>
      </c>
      <c r="G151" s="1"/>
      <c r="H151" s="1"/>
      <c r="I151" s="1"/>
      <c r="J151" s="14">
        <v>1.5E-3</v>
      </c>
      <c r="K151" s="14">
        <f t="shared" si="5"/>
        <v>6.0000000000000001E-3</v>
      </c>
      <c r="L151" s="15"/>
      <c r="M151" s="15"/>
    </row>
    <row r="152" spans="1:13" ht="37" customHeight="1" x14ac:dyDescent="0.3">
      <c r="A152" s="1"/>
      <c r="B152" s="2" t="s">
        <v>386</v>
      </c>
      <c r="C152" s="2" t="s">
        <v>371</v>
      </c>
      <c r="D152" s="2" t="s">
        <v>374</v>
      </c>
      <c r="E152" s="2" t="s">
        <v>387</v>
      </c>
      <c r="F152" s="13">
        <v>37</v>
      </c>
      <c r="G152" s="1"/>
      <c r="H152" s="1"/>
      <c r="I152" s="1"/>
      <c r="J152" s="14">
        <v>1.5E-3</v>
      </c>
      <c r="K152" s="14">
        <f t="shared" si="5"/>
        <v>5.5500000000000001E-2</v>
      </c>
      <c r="L152" s="15"/>
      <c r="M152" s="15"/>
    </row>
    <row r="153" spans="1:13" ht="37" customHeight="1" x14ac:dyDescent="0.3">
      <c r="A153" s="1"/>
      <c r="B153" s="2" t="s">
        <v>386</v>
      </c>
      <c r="C153" s="2" t="s">
        <v>371</v>
      </c>
      <c r="D153" s="2" t="s">
        <v>372</v>
      </c>
      <c r="E153" s="2" t="s">
        <v>388</v>
      </c>
      <c r="F153" s="13">
        <v>5</v>
      </c>
      <c r="G153" s="1"/>
      <c r="H153" s="1"/>
      <c r="I153" s="1"/>
      <c r="J153" s="14">
        <v>1.5E-3</v>
      </c>
      <c r="K153" s="14">
        <f t="shared" si="5"/>
        <v>7.4999999999999997E-3</v>
      </c>
      <c r="L153" s="15"/>
      <c r="M153" s="15"/>
    </row>
    <row r="154" spans="1:13" ht="37" customHeight="1" x14ac:dyDescent="0.3">
      <c r="A154" s="1"/>
      <c r="B154" s="2" t="s">
        <v>389</v>
      </c>
      <c r="C154" s="2" t="s">
        <v>390</v>
      </c>
      <c r="D154" s="2" t="s">
        <v>372</v>
      </c>
      <c r="E154" s="2" t="s">
        <v>391</v>
      </c>
      <c r="F154" s="13">
        <v>6</v>
      </c>
      <c r="G154" s="1"/>
      <c r="H154" s="1"/>
      <c r="I154" s="1"/>
      <c r="J154" s="14">
        <v>1.5E-3</v>
      </c>
      <c r="K154" s="14">
        <f t="shared" si="5"/>
        <v>9.0000000000000011E-3</v>
      </c>
      <c r="L154" s="15"/>
      <c r="M154" s="15"/>
    </row>
    <row r="155" spans="1:13" ht="37" customHeight="1" x14ac:dyDescent="0.3">
      <c r="A155" s="1"/>
      <c r="B155" s="2" t="s">
        <v>392</v>
      </c>
      <c r="C155" s="2" t="s">
        <v>393</v>
      </c>
      <c r="D155" s="2" t="s">
        <v>394</v>
      </c>
      <c r="E155" s="2" t="s">
        <v>395</v>
      </c>
      <c r="F155" s="13">
        <v>1</v>
      </c>
      <c r="G155" s="1"/>
      <c r="H155" s="1"/>
      <c r="I155" s="1"/>
      <c r="J155" s="14">
        <v>1.5E-3</v>
      </c>
      <c r="K155" s="14">
        <f t="shared" si="5"/>
        <v>1.5E-3</v>
      </c>
      <c r="L155" s="15"/>
      <c r="M155" s="15"/>
    </row>
    <row r="156" spans="1:13" s="4" customFormat="1" ht="37" customHeight="1" x14ac:dyDescent="0.3">
      <c r="A156" s="24"/>
      <c r="B156" s="22" t="s">
        <v>396</v>
      </c>
      <c r="C156" s="22" t="s">
        <v>397</v>
      </c>
      <c r="D156" s="22" t="s">
        <v>374</v>
      </c>
      <c r="E156" s="22" t="s">
        <v>398</v>
      </c>
      <c r="F156" s="23">
        <v>1</v>
      </c>
      <c r="G156" s="24"/>
      <c r="H156" s="24"/>
      <c r="I156" s="24"/>
      <c r="J156" s="25">
        <v>8.5000000000000006E-3</v>
      </c>
      <c r="K156" s="25">
        <v>0</v>
      </c>
      <c r="L156" s="26"/>
      <c r="M156" s="26"/>
    </row>
    <row r="157" spans="1:13" s="4" customFormat="1" ht="37" customHeight="1" x14ac:dyDescent="0.3">
      <c r="A157" s="24"/>
      <c r="B157" s="22" t="s">
        <v>399</v>
      </c>
      <c r="C157" s="22" t="s">
        <v>400</v>
      </c>
      <c r="D157" s="22" t="s">
        <v>372</v>
      </c>
      <c r="E157" s="22" t="s">
        <v>401</v>
      </c>
      <c r="F157" s="23">
        <v>4</v>
      </c>
      <c r="G157" s="24"/>
      <c r="H157" s="24"/>
      <c r="I157" s="24"/>
      <c r="J157" s="25">
        <v>8.5000000000000006E-3</v>
      </c>
      <c r="K157" s="25">
        <v>0</v>
      </c>
      <c r="L157" s="26"/>
      <c r="M157" s="26"/>
    </row>
    <row r="158" spans="1:13" s="32" customFormat="1" ht="37" customHeight="1" x14ac:dyDescent="0.3">
      <c r="A158" s="41"/>
      <c r="B158" s="39" t="s">
        <v>903</v>
      </c>
      <c r="C158" s="39" t="s">
        <v>397</v>
      </c>
      <c r="D158" s="39" t="s">
        <v>374</v>
      </c>
      <c r="E158" s="39" t="s">
        <v>904</v>
      </c>
      <c r="F158" s="40">
        <v>5</v>
      </c>
      <c r="G158" s="41"/>
      <c r="H158" s="41"/>
      <c r="I158" s="41"/>
      <c r="J158" s="42">
        <v>4.3E-3</v>
      </c>
      <c r="K158" s="42">
        <f t="shared" si="5"/>
        <v>2.1499999999999998E-2</v>
      </c>
      <c r="L158" s="44"/>
      <c r="M158" s="44" t="s">
        <v>902</v>
      </c>
    </row>
    <row r="159" spans="1:13" ht="37" customHeight="1" x14ac:dyDescent="0.3">
      <c r="A159" s="1"/>
      <c r="B159" s="2" t="s">
        <v>402</v>
      </c>
      <c r="C159" s="2" t="s">
        <v>403</v>
      </c>
      <c r="D159" s="2" t="s">
        <v>374</v>
      </c>
      <c r="E159" s="2" t="s">
        <v>404</v>
      </c>
      <c r="F159" s="13">
        <v>1</v>
      </c>
      <c r="G159" s="1"/>
      <c r="H159" s="1"/>
      <c r="I159" s="1"/>
      <c r="J159" s="14">
        <v>1.5E-3</v>
      </c>
      <c r="K159" s="14">
        <f t="shared" si="5"/>
        <v>1.5E-3</v>
      </c>
      <c r="L159" s="15"/>
      <c r="M159" s="15"/>
    </row>
    <row r="160" spans="1:13" ht="37" customHeight="1" x14ac:dyDescent="0.3">
      <c r="A160" s="1"/>
      <c r="B160" s="2" t="s">
        <v>405</v>
      </c>
      <c r="C160" s="2" t="s">
        <v>406</v>
      </c>
      <c r="D160" s="2" t="s">
        <v>374</v>
      </c>
      <c r="E160" s="2" t="s">
        <v>407</v>
      </c>
      <c r="F160" s="13">
        <v>1</v>
      </c>
      <c r="G160" s="1"/>
      <c r="H160" s="1"/>
      <c r="I160" s="1"/>
      <c r="J160" s="14">
        <v>1.5E-3</v>
      </c>
      <c r="K160" s="14">
        <f t="shared" si="5"/>
        <v>1.5E-3</v>
      </c>
      <c r="L160" s="15"/>
      <c r="M160" s="15"/>
    </row>
    <row r="161" spans="1:13" ht="37" customHeight="1" x14ac:dyDescent="0.3">
      <c r="A161" s="1"/>
      <c r="B161" s="2" t="s">
        <v>408</v>
      </c>
      <c r="C161" s="2" t="s">
        <v>381</v>
      </c>
      <c r="D161" s="2" t="s">
        <v>374</v>
      </c>
      <c r="E161" s="2" t="s">
        <v>409</v>
      </c>
      <c r="F161" s="13">
        <v>2</v>
      </c>
      <c r="G161" s="1"/>
      <c r="H161" s="1"/>
      <c r="I161" s="1"/>
      <c r="J161" s="14">
        <v>1.5E-3</v>
      </c>
      <c r="K161" s="14">
        <f t="shared" si="5"/>
        <v>3.0000000000000001E-3</v>
      </c>
      <c r="L161" s="15"/>
      <c r="M161" s="15"/>
    </row>
    <row r="162" spans="1:13" ht="37" customHeight="1" x14ac:dyDescent="0.3">
      <c r="A162" s="1"/>
      <c r="B162" s="2" t="s">
        <v>410</v>
      </c>
      <c r="C162" s="2" t="s">
        <v>411</v>
      </c>
      <c r="D162" s="2" t="s">
        <v>374</v>
      </c>
      <c r="E162" s="2" t="s">
        <v>412</v>
      </c>
      <c r="F162" s="13">
        <v>2</v>
      </c>
      <c r="G162" s="1"/>
      <c r="H162" s="1"/>
      <c r="I162" s="1"/>
      <c r="J162" s="14">
        <v>1.5E-3</v>
      </c>
      <c r="K162" s="14">
        <f t="shared" si="5"/>
        <v>3.0000000000000001E-3</v>
      </c>
      <c r="L162" s="15"/>
      <c r="M162" s="15"/>
    </row>
    <row r="163" spans="1:13" ht="37" customHeight="1" x14ac:dyDescent="0.3">
      <c r="A163" s="1"/>
      <c r="B163" s="2" t="s">
        <v>413</v>
      </c>
      <c r="C163" s="2" t="s">
        <v>384</v>
      </c>
      <c r="D163" s="2" t="s">
        <v>374</v>
      </c>
      <c r="E163" s="2" t="s">
        <v>414</v>
      </c>
      <c r="F163" s="13">
        <v>10</v>
      </c>
      <c r="G163" s="1"/>
      <c r="H163" s="1"/>
      <c r="I163" s="1"/>
      <c r="J163" s="14">
        <v>1.5E-3</v>
      </c>
      <c r="K163" s="14">
        <f t="shared" si="5"/>
        <v>1.4999999999999999E-2</v>
      </c>
      <c r="L163" s="15"/>
      <c r="M163" s="15"/>
    </row>
    <row r="164" spans="1:13" ht="37" customHeight="1" x14ac:dyDescent="0.3">
      <c r="A164" s="1"/>
      <c r="B164" s="2" t="s">
        <v>413</v>
      </c>
      <c r="C164" s="2" t="s">
        <v>384</v>
      </c>
      <c r="D164" s="2" t="s">
        <v>372</v>
      </c>
      <c r="E164" s="45" t="s">
        <v>905</v>
      </c>
      <c r="F164" s="13">
        <v>2</v>
      </c>
      <c r="G164" s="1"/>
      <c r="H164" s="1"/>
      <c r="I164" s="1"/>
      <c r="J164" s="14">
        <v>1.5E-3</v>
      </c>
      <c r="K164" s="14">
        <f t="shared" si="5"/>
        <v>3.0000000000000001E-3</v>
      </c>
      <c r="L164" s="15"/>
      <c r="M164" s="15"/>
    </row>
    <row r="165" spans="1:13" ht="37" customHeight="1" x14ac:dyDescent="0.3">
      <c r="A165" s="1"/>
      <c r="B165" s="2" t="s">
        <v>416</v>
      </c>
      <c r="C165" s="2" t="s">
        <v>371</v>
      </c>
      <c r="D165" s="2" t="s">
        <v>372</v>
      </c>
      <c r="E165" s="2" t="s">
        <v>417</v>
      </c>
      <c r="F165" s="13">
        <v>26</v>
      </c>
      <c r="G165" s="1"/>
      <c r="H165" s="1"/>
      <c r="I165" s="1"/>
      <c r="J165" s="14">
        <v>1.5E-3</v>
      </c>
      <c r="K165" s="14">
        <f t="shared" si="5"/>
        <v>3.9E-2</v>
      </c>
      <c r="L165" s="15"/>
      <c r="M165" s="15"/>
    </row>
    <row r="166" spans="1:13" ht="37" customHeight="1" x14ac:dyDescent="0.3">
      <c r="A166" s="1"/>
      <c r="B166" s="2" t="s">
        <v>418</v>
      </c>
      <c r="C166" s="2" t="s">
        <v>371</v>
      </c>
      <c r="D166" s="2" t="s">
        <v>374</v>
      </c>
      <c r="E166" s="2" t="s">
        <v>419</v>
      </c>
      <c r="F166" s="13">
        <v>3</v>
      </c>
      <c r="G166" s="1"/>
      <c r="H166" s="1"/>
      <c r="I166" s="1"/>
      <c r="J166" s="14">
        <v>1.5E-3</v>
      </c>
      <c r="K166" s="14">
        <f t="shared" si="5"/>
        <v>4.5000000000000005E-3</v>
      </c>
      <c r="L166" s="15"/>
      <c r="M166" s="15"/>
    </row>
    <row r="167" spans="1:13" s="4" customFormat="1" ht="37" customHeight="1" x14ac:dyDescent="0.3">
      <c r="A167" s="24"/>
      <c r="B167" s="22" t="s">
        <v>420</v>
      </c>
      <c r="C167" s="22" t="s">
        <v>371</v>
      </c>
      <c r="D167" s="22" t="s">
        <v>374</v>
      </c>
      <c r="E167" s="22" t="s">
        <v>421</v>
      </c>
      <c r="F167" s="23">
        <v>6</v>
      </c>
      <c r="G167" s="24"/>
      <c r="H167" s="24"/>
      <c r="I167" s="24"/>
      <c r="J167" s="25">
        <v>2E-3</v>
      </c>
      <c r="K167" s="25">
        <v>0</v>
      </c>
      <c r="L167" s="26"/>
      <c r="M167" s="26"/>
    </row>
    <row r="168" spans="1:13" s="4" customFormat="1" ht="37" customHeight="1" x14ac:dyDescent="0.3">
      <c r="A168" s="24"/>
      <c r="B168" s="22" t="s">
        <v>422</v>
      </c>
      <c r="C168" s="22" t="s">
        <v>423</v>
      </c>
      <c r="D168" s="22" t="s">
        <v>372</v>
      </c>
      <c r="E168" s="22" t="s">
        <v>424</v>
      </c>
      <c r="F168" s="23">
        <v>4</v>
      </c>
      <c r="G168" s="24"/>
      <c r="H168" s="24"/>
      <c r="I168" s="24"/>
      <c r="J168" s="25">
        <v>4.1999999999999997E-3</v>
      </c>
      <c r="K168" s="25">
        <v>0</v>
      </c>
      <c r="L168" s="26"/>
      <c r="M168" s="26"/>
    </row>
    <row r="169" spans="1:13" s="32" customFormat="1" ht="37" customHeight="1" x14ac:dyDescent="0.3">
      <c r="A169" s="41"/>
      <c r="B169" s="39" t="s">
        <v>418</v>
      </c>
      <c r="C169" s="39" t="s">
        <v>423</v>
      </c>
      <c r="D169" s="39" t="s">
        <v>374</v>
      </c>
      <c r="E169" s="39" t="s">
        <v>906</v>
      </c>
      <c r="F169" s="40">
        <v>10</v>
      </c>
      <c r="G169" s="41"/>
      <c r="H169" s="41"/>
      <c r="I169" s="41"/>
      <c r="J169" s="42">
        <v>1.5E-3</v>
      </c>
      <c r="K169" s="42">
        <f t="shared" si="5"/>
        <v>1.4999999999999999E-2</v>
      </c>
      <c r="L169" s="44"/>
      <c r="M169" s="44" t="s">
        <v>858</v>
      </c>
    </row>
    <row r="170" spans="1:13" ht="37" customHeight="1" x14ac:dyDescent="0.3">
      <c r="A170" s="1"/>
      <c r="B170" s="2" t="s">
        <v>425</v>
      </c>
      <c r="C170" s="2" t="s">
        <v>426</v>
      </c>
      <c r="D170" s="2" t="s">
        <v>374</v>
      </c>
      <c r="E170" s="2" t="s">
        <v>427</v>
      </c>
      <c r="F170" s="13">
        <v>9</v>
      </c>
      <c r="G170" s="1"/>
      <c r="H170" s="1"/>
      <c r="I170" s="1"/>
      <c r="J170" s="14">
        <v>1.5E-3</v>
      </c>
      <c r="K170" s="14">
        <f t="shared" si="5"/>
        <v>1.35E-2</v>
      </c>
      <c r="L170" s="15"/>
      <c r="M170" s="15"/>
    </row>
    <row r="171" spans="1:13" ht="37" customHeight="1" x14ac:dyDescent="0.3">
      <c r="A171" s="1"/>
      <c r="B171" s="2" t="s">
        <v>425</v>
      </c>
      <c r="C171" s="2" t="s">
        <v>428</v>
      </c>
      <c r="D171" s="2" t="s">
        <v>372</v>
      </c>
      <c r="E171" s="2" t="s">
        <v>429</v>
      </c>
      <c r="F171" s="13">
        <v>0</v>
      </c>
      <c r="G171" s="1"/>
      <c r="H171" s="1"/>
      <c r="I171" s="1"/>
      <c r="J171" s="14"/>
      <c r="K171" s="14">
        <f t="shared" si="5"/>
        <v>0</v>
      </c>
      <c r="L171" s="15"/>
      <c r="M171" s="15"/>
    </row>
    <row r="172" spans="1:13" ht="37" customHeight="1" x14ac:dyDescent="0.3">
      <c r="A172" s="1"/>
      <c r="B172" s="2" t="s">
        <v>430</v>
      </c>
      <c r="C172" s="2" t="s">
        <v>431</v>
      </c>
      <c r="D172" s="2" t="s">
        <v>374</v>
      </c>
      <c r="E172" s="2" t="s">
        <v>432</v>
      </c>
      <c r="F172" s="13">
        <v>2</v>
      </c>
      <c r="G172" s="1"/>
      <c r="H172" s="1"/>
      <c r="I172" s="1"/>
      <c r="J172" s="14">
        <v>5.1999999999999998E-3</v>
      </c>
      <c r="K172" s="14">
        <f t="shared" si="5"/>
        <v>1.04E-2</v>
      </c>
      <c r="L172" s="15"/>
      <c r="M172" s="15"/>
    </row>
    <row r="173" spans="1:13" ht="37" customHeight="1" x14ac:dyDescent="0.3">
      <c r="A173" s="1"/>
      <c r="B173" s="2" t="s">
        <v>433</v>
      </c>
      <c r="C173" s="2" t="s">
        <v>406</v>
      </c>
      <c r="D173" s="2" t="s">
        <v>374</v>
      </c>
      <c r="E173" s="2" t="s">
        <v>434</v>
      </c>
      <c r="F173" s="13">
        <v>4</v>
      </c>
      <c r="G173" s="1"/>
      <c r="H173" s="1"/>
      <c r="I173" s="1"/>
      <c r="J173" s="14">
        <v>1.5E-3</v>
      </c>
      <c r="K173" s="14">
        <f t="shared" si="5"/>
        <v>6.0000000000000001E-3</v>
      </c>
      <c r="L173" s="15"/>
      <c r="M173" s="15"/>
    </row>
    <row r="174" spans="1:13" s="32" customFormat="1" ht="37" customHeight="1" x14ac:dyDescent="0.3">
      <c r="A174" s="41"/>
      <c r="B174" s="39" t="s">
        <v>435</v>
      </c>
      <c r="C174" s="39" t="s">
        <v>436</v>
      </c>
      <c r="D174" s="39" t="s">
        <v>374</v>
      </c>
      <c r="E174" s="39" t="s">
        <v>437</v>
      </c>
      <c r="F174" s="40">
        <v>1</v>
      </c>
      <c r="G174" s="41"/>
      <c r="H174" s="41"/>
      <c r="I174" s="41"/>
      <c r="J174" s="42">
        <v>8.6E-3</v>
      </c>
      <c r="K174" s="42">
        <f t="shared" si="5"/>
        <v>8.6E-3</v>
      </c>
      <c r="L174" s="44"/>
      <c r="M174" s="44" t="s">
        <v>902</v>
      </c>
    </row>
    <row r="175" spans="1:13" ht="37" customHeight="1" x14ac:dyDescent="0.3">
      <c r="A175" s="1"/>
      <c r="B175" s="2" t="s">
        <v>438</v>
      </c>
      <c r="C175" s="2" t="s">
        <v>439</v>
      </c>
      <c r="D175" s="2" t="s">
        <v>374</v>
      </c>
      <c r="E175" s="2" t="s">
        <v>440</v>
      </c>
      <c r="F175" s="13">
        <v>2</v>
      </c>
      <c r="G175" s="1"/>
      <c r="H175" s="1"/>
      <c r="I175" s="1"/>
      <c r="J175" s="14">
        <v>1.5E-3</v>
      </c>
      <c r="K175" s="14">
        <f t="shared" si="5"/>
        <v>3.0000000000000001E-3</v>
      </c>
      <c r="L175" s="15"/>
      <c r="M175" s="15"/>
    </row>
    <row r="176" spans="1:13" ht="37" customHeight="1" x14ac:dyDescent="0.3">
      <c r="A176" s="1">
        <v>213103332</v>
      </c>
      <c r="B176" s="2" t="s">
        <v>441</v>
      </c>
      <c r="C176" s="2" t="s">
        <v>442</v>
      </c>
      <c r="D176" s="2" t="s">
        <v>443</v>
      </c>
      <c r="E176" s="2" t="s">
        <v>444</v>
      </c>
      <c r="F176" s="13">
        <v>2</v>
      </c>
      <c r="G176" s="1"/>
      <c r="H176" s="1"/>
      <c r="I176" s="1"/>
      <c r="J176" s="14">
        <v>9.4999999999999998E-3</v>
      </c>
      <c r="K176" s="14">
        <f t="shared" si="5"/>
        <v>1.9E-2</v>
      </c>
      <c r="L176" s="15"/>
      <c r="M176" s="15"/>
    </row>
    <row r="177" spans="1:13" ht="37" customHeight="1" x14ac:dyDescent="0.3">
      <c r="A177" s="1">
        <v>213106153</v>
      </c>
      <c r="B177" s="2" t="s">
        <v>445</v>
      </c>
      <c r="C177" s="2" t="s">
        <v>446</v>
      </c>
      <c r="D177" s="2" t="s">
        <v>443</v>
      </c>
      <c r="E177" s="2" t="s">
        <v>447</v>
      </c>
      <c r="F177" s="13">
        <v>2</v>
      </c>
      <c r="G177" s="1" t="s">
        <v>341</v>
      </c>
      <c r="H177" s="1" t="s">
        <v>342</v>
      </c>
      <c r="I177" s="1">
        <v>85</v>
      </c>
      <c r="J177" s="14">
        <v>8.2699999999999996E-2</v>
      </c>
      <c r="K177" s="14">
        <f t="shared" si="5"/>
        <v>0.16539999999999999</v>
      </c>
      <c r="L177" s="15"/>
      <c r="M177" s="15"/>
    </row>
    <row r="178" spans="1:13" s="32" customFormat="1" ht="37" customHeight="1" x14ac:dyDescent="0.3">
      <c r="A178" s="41" t="s">
        <v>448</v>
      </c>
      <c r="B178" s="39" t="s">
        <v>907</v>
      </c>
      <c r="C178" s="39" t="s">
        <v>450</v>
      </c>
      <c r="D178" s="39" t="s">
        <v>443</v>
      </c>
      <c r="E178" s="39" t="s">
        <v>451</v>
      </c>
      <c r="F178" s="40">
        <v>1</v>
      </c>
      <c r="G178" s="41"/>
      <c r="H178" s="41"/>
      <c r="I178" s="41"/>
      <c r="J178" s="42">
        <v>5.7000000000000002E-3</v>
      </c>
      <c r="K178" s="42">
        <f t="shared" si="5"/>
        <v>5.7000000000000002E-3</v>
      </c>
      <c r="L178" s="44"/>
      <c r="M178" s="44" t="s">
        <v>902</v>
      </c>
    </row>
    <row r="179" spans="1:13" ht="37" customHeight="1" x14ac:dyDescent="0.3">
      <c r="A179" s="1">
        <v>213115224</v>
      </c>
      <c r="B179" s="2" t="s">
        <v>452</v>
      </c>
      <c r="C179" s="2" t="s">
        <v>453</v>
      </c>
      <c r="D179" s="2" t="s">
        <v>443</v>
      </c>
      <c r="E179" s="2" t="s">
        <v>454</v>
      </c>
      <c r="F179" s="13">
        <v>1</v>
      </c>
      <c r="G179" s="1"/>
      <c r="H179" s="1"/>
      <c r="I179" s="1"/>
      <c r="J179" s="14">
        <v>9.7999999999999997E-3</v>
      </c>
      <c r="K179" s="14">
        <f t="shared" si="5"/>
        <v>9.7999999999999997E-3</v>
      </c>
      <c r="L179" s="15"/>
      <c r="M179" s="15"/>
    </row>
    <row r="180" spans="1:13" s="4" customFormat="1" ht="37" customHeight="1" x14ac:dyDescent="0.3">
      <c r="A180" s="24">
        <v>213148106</v>
      </c>
      <c r="B180" s="48" t="s">
        <v>459</v>
      </c>
      <c r="C180" s="22" t="s">
        <v>436</v>
      </c>
      <c r="D180" s="22" t="s">
        <v>460</v>
      </c>
      <c r="E180" s="22" t="s">
        <v>461</v>
      </c>
      <c r="F180" s="23">
        <v>1</v>
      </c>
      <c r="G180" s="24"/>
      <c r="H180" s="24"/>
      <c r="I180" s="24"/>
      <c r="J180" s="25">
        <v>1.4999999999999999E-2</v>
      </c>
      <c r="K180" s="25">
        <v>0</v>
      </c>
      <c r="L180" s="26"/>
      <c r="M180" s="26"/>
    </row>
    <row r="181" spans="1:13" s="32" customFormat="1" ht="37" customHeight="1" x14ac:dyDescent="0.3">
      <c r="A181" s="41"/>
      <c r="B181" s="49" t="s">
        <v>908</v>
      </c>
      <c r="C181" s="39" t="s">
        <v>909</v>
      </c>
      <c r="D181" s="39" t="s">
        <v>460</v>
      </c>
      <c r="E181" s="39" t="s">
        <v>461</v>
      </c>
      <c r="F181" s="40">
        <v>1</v>
      </c>
      <c r="G181" s="41"/>
      <c r="H181" s="41"/>
      <c r="I181" s="41"/>
      <c r="J181" s="42">
        <v>6.0000000000000001E-3</v>
      </c>
      <c r="K181" s="42">
        <f t="shared" si="5"/>
        <v>6.0000000000000001E-3</v>
      </c>
      <c r="L181" s="44"/>
      <c r="M181" s="44" t="s">
        <v>902</v>
      </c>
    </row>
    <row r="182" spans="1:13" ht="37" customHeight="1" x14ac:dyDescent="0.3">
      <c r="A182" s="1">
        <v>213163475</v>
      </c>
      <c r="B182" s="2" t="s">
        <v>462</v>
      </c>
      <c r="C182" s="2" t="s">
        <v>463</v>
      </c>
      <c r="D182" s="2" t="s">
        <v>443</v>
      </c>
      <c r="E182" s="2" t="s">
        <v>464</v>
      </c>
      <c r="F182" s="13">
        <v>5</v>
      </c>
      <c r="G182" s="1"/>
      <c r="H182" s="1"/>
      <c r="I182" s="1"/>
      <c r="J182" s="14">
        <v>8.8000000000000005E-3</v>
      </c>
      <c r="K182" s="14">
        <f t="shared" si="5"/>
        <v>4.4000000000000004E-2</v>
      </c>
      <c r="L182" s="15"/>
      <c r="M182" s="15"/>
    </row>
    <row r="183" spans="1:13" ht="37" customHeight="1" x14ac:dyDescent="0.3">
      <c r="A183" s="1"/>
      <c r="B183" s="2" t="s">
        <v>465</v>
      </c>
      <c r="C183" s="2" t="s">
        <v>403</v>
      </c>
      <c r="D183" s="2" t="s">
        <v>460</v>
      </c>
      <c r="E183" s="2" t="s">
        <v>466</v>
      </c>
      <c r="F183" s="13">
        <v>2</v>
      </c>
      <c r="G183" s="1"/>
      <c r="H183" s="1"/>
      <c r="I183" s="1"/>
      <c r="J183" s="14">
        <v>6.4999999999999997E-3</v>
      </c>
      <c r="K183" s="14">
        <f t="shared" si="5"/>
        <v>1.2999999999999999E-2</v>
      </c>
      <c r="L183" s="15"/>
      <c r="M183" s="15"/>
    </row>
    <row r="184" spans="1:13" ht="37" customHeight="1" x14ac:dyDescent="0.3">
      <c r="A184" s="1"/>
      <c r="B184" s="2" t="s">
        <v>467</v>
      </c>
      <c r="C184" s="2" t="s">
        <v>442</v>
      </c>
      <c r="D184" s="2" t="s">
        <v>460</v>
      </c>
      <c r="E184" s="2" t="s">
        <v>468</v>
      </c>
      <c r="F184" s="13">
        <v>2</v>
      </c>
      <c r="G184" s="1"/>
      <c r="H184" s="1"/>
      <c r="I184" s="1"/>
      <c r="J184" s="14">
        <v>9.4999999999999998E-3</v>
      </c>
      <c r="K184" s="14">
        <f t="shared" si="5"/>
        <v>1.9E-2</v>
      </c>
      <c r="L184" s="15"/>
      <c r="M184" s="15"/>
    </row>
    <row r="185" spans="1:13" ht="37" customHeight="1" x14ac:dyDescent="0.3">
      <c r="A185" s="1"/>
      <c r="B185" s="2" t="s">
        <v>469</v>
      </c>
      <c r="C185" s="2" t="s">
        <v>377</v>
      </c>
      <c r="D185" s="2" t="s">
        <v>460</v>
      </c>
      <c r="E185" s="2" t="s">
        <v>470</v>
      </c>
      <c r="F185" s="13">
        <v>2</v>
      </c>
      <c r="G185" s="1"/>
      <c r="H185" s="1"/>
      <c r="I185" s="1"/>
      <c r="J185" s="14">
        <v>1.6799999999999999E-2</v>
      </c>
      <c r="K185" s="14">
        <f t="shared" si="5"/>
        <v>3.3599999999999998E-2</v>
      </c>
      <c r="L185" s="15"/>
      <c r="M185" s="15"/>
    </row>
    <row r="186" spans="1:13" ht="37" customHeight="1" x14ac:dyDescent="0.3">
      <c r="A186" s="1"/>
      <c r="B186" s="2" t="s">
        <v>471</v>
      </c>
      <c r="C186" s="2" t="s">
        <v>472</v>
      </c>
      <c r="D186" s="2" t="s">
        <v>460</v>
      </c>
      <c r="E186" s="2" t="s">
        <v>473</v>
      </c>
      <c r="F186" s="13">
        <v>2</v>
      </c>
      <c r="G186" s="1" t="s">
        <v>341</v>
      </c>
      <c r="H186" s="1" t="s">
        <v>342</v>
      </c>
      <c r="I186" s="1">
        <v>85</v>
      </c>
      <c r="J186" s="14">
        <v>8.2699999999999996E-2</v>
      </c>
      <c r="K186" s="14">
        <f t="shared" si="5"/>
        <v>0.16539999999999999</v>
      </c>
      <c r="L186" s="15"/>
      <c r="M186" s="15"/>
    </row>
    <row r="187" spans="1:13" ht="37" customHeight="1" x14ac:dyDescent="0.3">
      <c r="A187" s="1"/>
      <c r="B187" s="2" t="s">
        <v>474</v>
      </c>
      <c r="C187" s="2" t="s">
        <v>475</v>
      </c>
      <c r="D187" s="2" t="s">
        <v>460</v>
      </c>
      <c r="E187" s="2" t="s">
        <v>476</v>
      </c>
      <c r="F187" s="13">
        <v>4</v>
      </c>
      <c r="G187" s="1"/>
      <c r="H187" s="1"/>
      <c r="I187" s="1"/>
      <c r="J187" s="14">
        <v>2.5000000000000001E-3</v>
      </c>
      <c r="K187" s="14">
        <f t="shared" si="5"/>
        <v>0.01</v>
      </c>
      <c r="L187" s="15"/>
      <c r="M187" s="15"/>
    </row>
    <row r="188" spans="1:13" ht="37" customHeight="1" x14ac:dyDescent="0.3">
      <c r="A188" s="1"/>
      <c r="B188" s="2" t="s">
        <v>477</v>
      </c>
      <c r="C188" s="2" t="s">
        <v>384</v>
      </c>
      <c r="D188" s="2" t="s">
        <v>460</v>
      </c>
      <c r="E188" s="2" t="s">
        <v>478</v>
      </c>
      <c r="F188" s="13">
        <v>4</v>
      </c>
      <c r="G188" s="1"/>
      <c r="H188" s="1"/>
      <c r="I188" s="1"/>
      <c r="J188" s="14">
        <v>2.8E-3</v>
      </c>
      <c r="K188" s="14">
        <f t="shared" si="5"/>
        <v>1.12E-2</v>
      </c>
      <c r="L188" s="15"/>
      <c r="M188" s="15"/>
    </row>
    <row r="189" spans="1:13" ht="37" customHeight="1" x14ac:dyDescent="0.3">
      <c r="A189" s="1"/>
      <c r="B189" s="2" t="s">
        <v>479</v>
      </c>
      <c r="C189" s="2" t="s">
        <v>426</v>
      </c>
      <c r="D189" s="2" t="s">
        <v>460</v>
      </c>
      <c r="E189" s="2" t="s">
        <v>480</v>
      </c>
      <c r="F189" s="13">
        <v>10</v>
      </c>
      <c r="G189" s="1"/>
      <c r="H189" s="1"/>
      <c r="I189" s="1"/>
      <c r="J189" s="14">
        <v>2.5000000000000001E-3</v>
      </c>
      <c r="K189" s="14">
        <f t="shared" si="5"/>
        <v>2.5000000000000001E-2</v>
      </c>
      <c r="L189" s="15"/>
      <c r="M189" s="15"/>
    </row>
    <row r="190" spans="1:13" ht="37" customHeight="1" x14ac:dyDescent="0.3">
      <c r="A190" s="1"/>
      <c r="B190" s="2" t="s">
        <v>482</v>
      </c>
      <c r="C190" s="2" t="s">
        <v>483</v>
      </c>
      <c r="D190" s="2" t="s">
        <v>443</v>
      </c>
      <c r="E190" s="2" t="s">
        <v>484</v>
      </c>
      <c r="F190" s="13">
        <v>4</v>
      </c>
      <c r="G190" s="1"/>
      <c r="H190" s="1"/>
      <c r="I190" s="1"/>
      <c r="J190" s="14">
        <v>2.8E-3</v>
      </c>
      <c r="K190" s="14">
        <f t="shared" si="5"/>
        <v>1.12E-2</v>
      </c>
      <c r="L190" s="15"/>
      <c r="M190" s="15"/>
    </row>
    <row r="191" spans="1:13" ht="37" customHeight="1" x14ac:dyDescent="0.3">
      <c r="A191" s="1"/>
      <c r="B191" s="2" t="s">
        <v>485</v>
      </c>
      <c r="C191" s="2" t="s">
        <v>431</v>
      </c>
      <c r="D191" s="2" t="s">
        <v>443</v>
      </c>
      <c r="E191" s="2" t="s">
        <v>486</v>
      </c>
      <c r="F191" s="13">
        <v>4</v>
      </c>
      <c r="G191" s="1"/>
      <c r="H191" s="1"/>
      <c r="I191" s="1"/>
      <c r="J191" s="14">
        <v>2.8E-3</v>
      </c>
      <c r="K191" s="14">
        <f t="shared" si="5"/>
        <v>1.12E-2</v>
      </c>
      <c r="L191" s="15"/>
      <c r="M191" s="15"/>
    </row>
    <row r="192" spans="1:13" s="4" customFormat="1" ht="37" customHeight="1" x14ac:dyDescent="0.3">
      <c r="A192" s="24"/>
      <c r="B192" s="22" t="s">
        <v>487</v>
      </c>
      <c r="C192" s="22" t="s">
        <v>397</v>
      </c>
      <c r="D192" s="22" t="s">
        <v>443</v>
      </c>
      <c r="E192" s="22" t="s">
        <v>488</v>
      </c>
      <c r="F192" s="23">
        <v>4</v>
      </c>
      <c r="G192" s="24"/>
      <c r="H192" s="24"/>
      <c r="I192" s="24"/>
      <c r="J192" s="25">
        <v>8.8999999999999999E-3</v>
      </c>
      <c r="K192" s="25">
        <v>0</v>
      </c>
      <c r="L192" s="26"/>
      <c r="M192" s="26"/>
    </row>
    <row r="193" spans="1:13" s="32" customFormat="1" ht="37" customHeight="1" x14ac:dyDescent="0.3">
      <c r="A193" s="41"/>
      <c r="B193" s="39" t="s">
        <v>910</v>
      </c>
      <c r="C193" s="39" t="s">
        <v>397</v>
      </c>
      <c r="D193" s="39" t="s">
        <v>443</v>
      </c>
      <c r="E193" s="39" t="s">
        <v>488</v>
      </c>
      <c r="F193" s="40">
        <v>4</v>
      </c>
      <c r="G193" s="41"/>
      <c r="H193" s="41"/>
      <c r="I193" s="41"/>
      <c r="J193" s="42">
        <v>5.4999999999999997E-3</v>
      </c>
      <c r="K193" s="42">
        <f t="shared" si="5"/>
        <v>2.1999999999999999E-2</v>
      </c>
      <c r="L193" s="44"/>
      <c r="M193" s="44" t="s">
        <v>858</v>
      </c>
    </row>
    <row r="194" spans="1:13" s="32" customFormat="1" ht="37" customHeight="1" x14ac:dyDescent="0.3">
      <c r="A194" s="41"/>
      <c r="B194" s="39" t="s">
        <v>489</v>
      </c>
      <c r="C194" s="39" t="s">
        <v>450</v>
      </c>
      <c r="D194" s="39" t="s">
        <v>443</v>
      </c>
      <c r="E194" s="39" t="s">
        <v>490</v>
      </c>
      <c r="F194" s="40">
        <v>6</v>
      </c>
      <c r="G194" s="41"/>
      <c r="H194" s="41"/>
      <c r="I194" s="41"/>
      <c r="J194" s="42">
        <v>5.7000000000000002E-3</v>
      </c>
      <c r="K194" s="42">
        <f t="shared" si="5"/>
        <v>3.4200000000000001E-2</v>
      </c>
      <c r="L194" s="44"/>
      <c r="M194" s="44" t="s">
        <v>902</v>
      </c>
    </row>
    <row r="195" spans="1:13" s="32" customFormat="1" ht="37" customHeight="1" x14ac:dyDescent="0.3">
      <c r="A195" s="41"/>
      <c r="B195" s="39" t="s">
        <v>496</v>
      </c>
      <c r="C195" s="39" t="s">
        <v>397</v>
      </c>
      <c r="D195" s="39" t="s">
        <v>460</v>
      </c>
      <c r="E195" s="39" t="s">
        <v>497</v>
      </c>
      <c r="F195" s="40">
        <v>1</v>
      </c>
      <c r="G195" s="41"/>
      <c r="H195" s="41"/>
      <c r="I195" s="41"/>
      <c r="J195" s="42">
        <v>5.4999999999999997E-3</v>
      </c>
      <c r="K195" s="42">
        <f t="shared" si="5"/>
        <v>5.4999999999999997E-3</v>
      </c>
      <c r="L195" s="44"/>
      <c r="M195" s="44" t="s">
        <v>902</v>
      </c>
    </row>
    <row r="196" spans="1:13" ht="37" customHeight="1" x14ac:dyDescent="0.3">
      <c r="A196" s="1"/>
      <c r="B196" s="2" t="s">
        <v>498</v>
      </c>
      <c r="C196" s="2" t="s">
        <v>499</v>
      </c>
      <c r="D196" s="2" t="s">
        <v>443</v>
      </c>
      <c r="E196" s="45" t="s">
        <v>911</v>
      </c>
      <c r="F196" s="13">
        <v>5</v>
      </c>
      <c r="G196" s="1"/>
      <c r="H196" s="1"/>
      <c r="I196" s="1"/>
      <c r="J196" s="14">
        <v>2.8999999999999998E-3</v>
      </c>
      <c r="K196" s="14">
        <f t="shared" si="5"/>
        <v>1.4499999999999999E-2</v>
      </c>
      <c r="L196" s="15"/>
      <c r="M196" s="15"/>
    </row>
    <row r="197" spans="1:13" s="32" customFormat="1" ht="37" customHeight="1" x14ac:dyDescent="0.3">
      <c r="A197" s="41"/>
      <c r="B197" s="39" t="s">
        <v>912</v>
      </c>
      <c r="C197" s="39"/>
      <c r="D197" s="39"/>
      <c r="E197" s="39" t="s">
        <v>913</v>
      </c>
      <c r="F197" s="40">
        <v>4</v>
      </c>
      <c r="G197" s="41"/>
      <c r="H197" s="41"/>
      <c r="I197" s="41"/>
      <c r="J197" s="42">
        <v>2.5000000000000001E-3</v>
      </c>
      <c r="K197" s="42">
        <f t="shared" si="5"/>
        <v>0.01</v>
      </c>
      <c r="L197" s="44"/>
      <c r="M197" s="44" t="s">
        <v>896</v>
      </c>
    </row>
    <row r="198" spans="1:13" s="32" customFormat="1" ht="37" customHeight="1" x14ac:dyDescent="0.3">
      <c r="A198" s="41"/>
      <c r="B198" s="39" t="s">
        <v>914</v>
      </c>
      <c r="C198" s="39"/>
      <c r="D198" s="39"/>
      <c r="E198" s="39" t="s">
        <v>915</v>
      </c>
      <c r="F198" s="40">
        <v>2</v>
      </c>
      <c r="G198" s="41"/>
      <c r="H198" s="41"/>
      <c r="I198" s="41"/>
      <c r="J198" s="42">
        <v>2.5000000000000001E-3</v>
      </c>
      <c r="K198" s="42">
        <f t="shared" si="5"/>
        <v>5.0000000000000001E-3</v>
      </c>
      <c r="L198" s="44"/>
      <c r="M198" s="44" t="s">
        <v>896</v>
      </c>
    </row>
    <row r="199" spans="1:13" ht="37" customHeight="1" x14ac:dyDescent="0.3">
      <c r="A199" s="1"/>
      <c r="B199" s="2" t="s">
        <v>501</v>
      </c>
      <c r="C199" s="2" t="s">
        <v>502</v>
      </c>
      <c r="D199" s="2" t="s">
        <v>503</v>
      </c>
      <c r="E199" s="2" t="s">
        <v>504</v>
      </c>
      <c r="F199" s="13">
        <v>1</v>
      </c>
      <c r="G199" s="1" t="s">
        <v>505</v>
      </c>
      <c r="H199" s="1">
        <v>4000</v>
      </c>
      <c r="I199" s="1">
        <v>28</v>
      </c>
      <c r="J199" s="14">
        <v>1.2E-2</v>
      </c>
      <c r="K199" s="14">
        <f t="shared" si="5"/>
        <v>1.2E-2</v>
      </c>
      <c r="L199" s="15"/>
      <c r="M199" s="15"/>
    </row>
    <row r="200" spans="1:13" s="4" customFormat="1" ht="37" customHeight="1" x14ac:dyDescent="0.3">
      <c r="A200" s="24"/>
      <c r="B200" s="22" t="s">
        <v>506</v>
      </c>
      <c r="C200" s="22" t="s">
        <v>436</v>
      </c>
      <c r="D200" s="22" t="s">
        <v>507</v>
      </c>
      <c r="E200" s="22" t="s">
        <v>508</v>
      </c>
      <c r="F200" s="23">
        <v>1</v>
      </c>
      <c r="G200" s="24"/>
      <c r="H200" s="24"/>
      <c r="I200" s="24"/>
      <c r="J200" s="25">
        <v>0.04</v>
      </c>
      <c r="K200" s="25">
        <v>0</v>
      </c>
      <c r="L200" s="26"/>
      <c r="M200" s="26"/>
    </row>
    <row r="201" spans="1:13" s="32" customFormat="1" ht="37" customHeight="1" x14ac:dyDescent="0.3">
      <c r="A201" s="41"/>
      <c r="B201" s="39" t="s">
        <v>509</v>
      </c>
      <c r="C201" s="39" t="s">
        <v>436</v>
      </c>
      <c r="D201" s="39" t="s">
        <v>507</v>
      </c>
      <c r="E201" s="39" t="s">
        <v>510</v>
      </c>
      <c r="F201" s="40">
        <v>3</v>
      </c>
      <c r="G201" s="41"/>
      <c r="H201" s="41"/>
      <c r="I201" s="41"/>
      <c r="J201" s="42">
        <v>7.4999999999999997E-3</v>
      </c>
      <c r="K201" s="42">
        <f t="shared" si="5"/>
        <v>2.2499999999999999E-2</v>
      </c>
      <c r="L201" s="44"/>
      <c r="M201" s="44" t="s">
        <v>902</v>
      </c>
    </row>
    <row r="202" spans="1:13" ht="37" customHeight="1" x14ac:dyDescent="0.3">
      <c r="A202" s="1"/>
      <c r="B202" s="2" t="s">
        <v>511</v>
      </c>
      <c r="C202" s="2" t="s">
        <v>371</v>
      </c>
      <c r="D202" s="2" t="s">
        <v>512</v>
      </c>
      <c r="E202" s="2" t="s">
        <v>513</v>
      </c>
      <c r="F202" s="13">
        <v>2</v>
      </c>
      <c r="G202" s="1"/>
      <c r="H202" s="1"/>
      <c r="I202" s="1"/>
      <c r="J202" s="14">
        <v>7.4000000000000003E-3</v>
      </c>
      <c r="K202" s="14">
        <f t="shared" si="5"/>
        <v>1.4800000000000001E-2</v>
      </c>
      <c r="L202" s="15"/>
      <c r="M202" s="15"/>
    </row>
    <row r="203" spans="1:13" s="4" customFormat="1" ht="37" customHeight="1" x14ac:dyDescent="0.3">
      <c r="A203" s="24"/>
      <c r="B203" s="22" t="s">
        <v>514</v>
      </c>
      <c r="C203" s="22" t="s">
        <v>515</v>
      </c>
      <c r="D203" s="22" t="s">
        <v>516</v>
      </c>
      <c r="E203" s="22" t="s">
        <v>916</v>
      </c>
      <c r="F203" s="23">
        <v>17</v>
      </c>
      <c r="G203" s="24"/>
      <c r="H203" s="24"/>
      <c r="I203" s="24"/>
      <c r="J203" s="25">
        <v>3.85E-2</v>
      </c>
      <c r="K203" s="25">
        <v>0</v>
      </c>
      <c r="L203" s="26"/>
      <c r="M203" s="26"/>
    </row>
    <row r="204" spans="1:13" s="32" customFormat="1" ht="37" customHeight="1" x14ac:dyDescent="0.3">
      <c r="A204" s="41"/>
      <c r="B204" s="39" t="s">
        <v>917</v>
      </c>
      <c r="C204" s="39" t="s">
        <v>515</v>
      </c>
      <c r="D204" s="39"/>
      <c r="E204" s="39" t="s">
        <v>916</v>
      </c>
      <c r="F204" s="40">
        <v>17</v>
      </c>
      <c r="G204" s="41"/>
      <c r="H204" s="41"/>
      <c r="I204" s="41"/>
      <c r="J204" s="42">
        <v>1.5599999999999999E-2</v>
      </c>
      <c r="K204" s="42">
        <f t="shared" ref="K204:K266" si="6">J204*F204</f>
        <v>0.26519999999999999</v>
      </c>
      <c r="L204" s="44"/>
      <c r="M204" s="44" t="s">
        <v>902</v>
      </c>
    </row>
    <row r="205" spans="1:13" s="32" customFormat="1" ht="37" customHeight="1" x14ac:dyDescent="0.3">
      <c r="A205" s="41"/>
      <c r="B205" s="39" t="s">
        <v>918</v>
      </c>
      <c r="C205" s="39" t="s">
        <v>450</v>
      </c>
      <c r="D205" s="39" t="s">
        <v>518</v>
      </c>
      <c r="E205" s="39" t="s">
        <v>521</v>
      </c>
      <c r="F205" s="40">
        <v>2</v>
      </c>
      <c r="G205" s="41"/>
      <c r="H205" s="41"/>
      <c r="I205" s="41"/>
      <c r="J205" s="42">
        <v>3.5400000000000001E-2</v>
      </c>
      <c r="K205" s="42">
        <f t="shared" si="6"/>
        <v>7.0800000000000002E-2</v>
      </c>
      <c r="L205" s="44"/>
      <c r="M205" s="44"/>
    </row>
    <row r="206" spans="1:13" ht="37" customHeight="1" x14ac:dyDescent="0.3">
      <c r="A206" s="1">
        <v>310203425</v>
      </c>
      <c r="B206" s="2" t="s">
        <v>522</v>
      </c>
      <c r="C206" s="2" t="s">
        <v>523</v>
      </c>
      <c r="D206" s="2" t="s">
        <v>524</v>
      </c>
      <c r="E206" s="2" t="s">
        <v>525</v>
      </c>
      <c r="F206" s="13">
        <v>1</v>
      </c>
      <c r="G206" s="1" t="s">
        <v>526</v>
      </c>
      <c r="H206" s="1">
        <v>5000</v>
      </c>
      <c r="I206" s="1">
        <v>120</v>
      </c>
      <c r="J206" s="14">
        <v>0.4</v>
      </c>
      <c r="K206" s="14">
        <f t="shared" si="6"/>
        <v>0.4</v>
      </c>
      <c r="L206" s="15"/>
      <c r="M206" s="15"/>
    </row>
    <row r="207" spans="1:13" ht="37" customHeight="1" x14ac:dyDescent="0.3">
      <c r="A207" s="1" t="s">
        <v>527</v>
      </c>
      <c r="B207" s="2" t="s">
        <v>528</v>
      </c>
      <c r="C207" s="2" t="s">
        <v>529</v>
      </c>
      <c r="D207" s="2" t="s">
        <v>530</v>
      </c>
      <c r="E207" s="2" t="s">
        <v>531</v>
      </c>
      <c r="F207" s="13">
        <v>4</v>
      </c>
      <c r="G207" s="1" t="s">
        <v>532</v>
      </c>
      <c r="H207" s="1">
        <v>3000</v>
      </c>
      <c r="I207" s="1">
        <v>56</v>
      </c>
      <c r="J207" s="14">
        <v>0.20799999999999999</v>
      </c>
      <c r="K207" s="14">
        <f t="shared" si="6"/>
        <v>0.83199999999999996</v>
      </c>
      <c r="L207" s="15"/>
      <c r="M207" s="15"/>
    </row>
    <row r="208" spans="1:13" s="32" customFormat="1" ht="37" customHeight="1" x14ac:dyDescent="0.3">
      <c r="A208" s="41">
        <v>722597804</v>
      </c>
      <c r="B208" s="39" t="s">
        <v>533</v>
      </c>
      <c r="C208" s="39" t="s">
        <v>534</v>
      </c>
      <c r="D208" s="39" t="s">
        <v>535</v>
      </c>
      <c r="E208" s="39" t="s">
        <v>536</v>
      </c>
      <c r="F208" s="40">
        <v>3</v>
      </c>
      <c r="G208" s="41" t="s">
        <v>537</v>
      </c>
      <c r="H208" s="41">
        <v>1000</v>
      </c>
      <c r="I208" s="41">
        <v>42</v>
      </c>
      <c r="J208" s="42">
        <v>0.1429</v>
      </c>
      <c r="K208" s="42">
        <f t="shared" si="6"/>
        <v>0.42869999999999997</v>
      </c>
      <c r="L208" s="44"/>
      <c r="M208" s="44" t="s">
        <v>902</v>
      </c>
    </row>
    <row r="209" spans="1:13" ht="37" customHeight="1" x14ac:dyDescent="0.3">
      <c r="A209" s="1" t="s">
        <v>539</v>
      </c>
      <c r="B209" s="2" t="s">
        <v>540</v>
      </c>
      <c r="C209" s="2" t="s">
        <v>541</v>
      </c>
      <c r="D209" s="2" t="s">
        <v>542</v>
      </c>
      <c r="E209" s="2" t="s">
        <v>543</v>
      </c>
      <c r="F209" s="13">
        <v>3</v>
      </c>
      <c r="G209" s="1"/>
      <c r="H209" s="1"/>
      <c r="I209" s="1"/>
      <c r="J209" s="14">
        <v>1.2500000000000001E-2</v>
      </c>
      <c r="K209" s="14">
        <f t="shared" si="6"/>
        <v>3.7500000000000006E-2</v>
      </c>
      <c r="L209" s="15"/>
      <c r="M209" s="15"/>
    </row>
    <row r="210" spans="1:13" ht="37" customHeight="1" x14ac:dyDescent="0.3">
      <c r="A210" s="1">
        <v>211260227</v>
      </c>
      <c r="B210" s="2" t="s">
        <v>544</v>
      </c>
      <c r="C210" s="2" t="s">
        <v>545</v>
      </c>
      <c r="D210" s="2" t="s">
        <v>546</v>
      </c>
      <c r="E210" s="2" t="s">
        <v>547</v>
      </c>
      <c r="F210" s="13">
        <v>4</v>
      </c>
      <c r="G210" s="1" t="s">
        <v>548</v>
      </c>
      <c r="H210" s="1">
        <v>1000</v>
      </c>
      <c r="I210" s="1">
        <v>21</v>
      </c>
      <c r="J210" s="14">
        <v>2.4299999999999999E-2</v>
      </c>
      <c r="K210" s="14">
        <f t="shared" si="6"/>
        <v>9.7199999999999995E-2</v>
      </c>
      <c r="L210" s="15"/>
      <c r="M210" s="15"/>
    </row>
    <row r="211" spans="1:13" ht="37" customHeight="1" x14ac:dyDescent="0.3">
      <c r="A211" s="1">
        <v>212207476</v>
      </c>
      <c r="B211" s="2" t="s">
        <v>549</v>
      </c>
      <c r="C211" s="2" t="s">
        <v>550</v>
      </c>
      <c r="D211" s="2" t="s">
        <v>551</v>
      </c>
      <c r="E211" s="2" t="s">
        <v>552</v>
      </c>
      <c r="F211" s="13">
        <v>2</v>
      </c>
      <c r="G211" s="1"/>
      <c r="H211" s="1"/>
      <c r="I211" s="1"/>
      <c r="J211" s="14">
        <v>0.02</v>
      </c>
      <c r="K211" s="14">
        <f t="shared" si="6"/>
        <v>0.04</v>
      </c>
      <c r="L211" s="15"/>
      <c r="M211" s="15"/>
    </row>
    <row r="212" spans="1:13" s="4" customFormat="1" ht="37" customHeight="1" x14ac:dyDescent="0.3">
      <c r="A212" s="50">
        <v>310204304</v>
      </c>
      <c r="B212" s="51" t="s">
        <v>553</v>
      </c>
      <c r="C212" s="51" t="s">
        <v>554</v>
      </c>
      <c r="D212" s="51" t="s">
        <v>555</v>
      </c>
      <c r="E212" s="51" t="s">
        <v>556</v>
      </c>
      <c r="F212" s="52">
        <v>1</v>
      </c>
      <c r="G212" s="50" t="s">
        <v>557</v>
      </c>
      <c r="H212" s="50">
        <v>4000</v>
      </c>
      <c r="I212" s="50">
        <v>130</v>
      </c>
      <c r="J212" s="53">
        <v>2.96</v>
      </c>
      <c r="K212" s="25">
        <v>0</v>
      </c>
      <c r="L212" s="26"/>
      <c r="M212" s="26"/>
    </row>
    <row r="213" spans="1:13" s="4" customFormat="1" ht="37" customHeight="1" x14ac:dyDescent="0.3">
      <c r="A213" s="50">
        <v>310215302</v>
      </c>
      <c r="B213" s="51" t="s">
        <v>558</v>
      </c>
      <c r="C213" s="51" t="s">
        <v>559</v>
      </c>
      <c r="D213" s="51" t="s">
        <v>555</v>
      </c>
      <c r="E213" s="51" t="s">
        <v>560</v>
      </c>
      <c r="F213" s="52">
        <v>1</v>
      </c>
      <c r="G213" s="50" t="s">
        <v>557</v>
      </c>
      <c r="H213" s="50">
        <v>4000</v>
      </c>
      <c r="I213" s="50">
        <v>130</v>
      </c>
      <c r="J213" s="53">
        <v>2.44</v>
      </c>
      <c r="K213" s="25">
        <v>0</v>
      </c>
      <c r="L213" s="26"/>
      <c r="M213" s="54" t="s">
        <v>561</v>
      </c>
    </row>
    <row r="214" spans="1:13" ht="37" customHeight="1" x14ac:dyDescent="0.3">
      <c r="A214" s="1"/>
      <c r="B214" s="47" t="s">
        <v>919</v>
      </c>
      <c r="C214" s="2"/>
      <c r="D214" s="2"/>
      <c r="E214" s="2"/>
      <c r="F214" s="13">
        <v>1</v>
      </c>
      <c r="G214" s="1"/>
      <c r="H214" s="1"/>
      <c r="I214" s="1"/>
      <c r="J214" s="14">
        <v>2.76</v>
      </c>
      <c r="K214" s="14">
        <f t="shared" si="6"/>
        <v>2.76</v>
      </c>
      <c r="L214" s="55" t="s">
        <v>920</v>
      </c>
      <c r="M214" s="56"/>
    </row>
    <row r="215" spans="1:13" ht="37" customHeight="1" x14ac:dyDescent="0.3">
      <c r="A215" s="1"/>
      <c r="B215" s="2" t="s">
        <v>921</v>
      </c>
      <c r="C215" s="2"/>
      <c r="D215" s="2"/>
      <c r="E215" s="2"/>
      <c r="F215" s="13">
        <v>1</v>
      </c>
      <c r="G215" s="1"/>
      <c r="H215" s="1"/>
      <c r="I215" s="1"/>
      <c r="J215" s="14">
        <v>1.2</v>
      </c>
      <c r="K215" s="14">
        <f t="shared" si="6"/>
        <v>1.2</v>
      </c>
      <c r="L215" s="55" t="s">
        <v>922</v>
      </c>
      <c r="M215" s="56"/>
    </row>
    <row r="216" spans="1:13" ht="37" customHeight="1" x14ac:dyDescent="0.3">
      <c r="A216" s="1" t="s">
        <v>562</v>
      </c>
      <c r="B216" s="2" t="s">
        <v>563</v>
      </c>
      <c r="C216" s="2" t="s">
        <v>564</v>
      </c>
      <c r="D216" s="2" t="s">
        <v>565</v>
      </c>
      <c r="E216" s="2" t="s">
        <v>566</v>
      </c>
      <c r="F216" s="13">
        <v>1</v>
      </c>
      <c r="G216" s="1" t="s">
        <v>567</v>
      </c>
      <c r="H216" s="1">
        <v>3000</v>
      </c>
      <c r="I216" s="1">
        <v>21</v>
      </c>
      <c r="J216" s="14">
        <v>4.2999999999999997E-2</v>
      </c>
      <c r="K216" s="14">
        <f t="shared" si="6"/>
        <v>4.2999999999999997E-2</v>
      </c>
      <c r="L216" s="15"/>
      <c r="M216" s="15"/>
    </row>
    <row r="217" spans="1:13" s="32" customFormat="1" ht="37" customHeight="1" x14ac:dyDescent="0.3">
      <c r="A217" s="41">
        <v>311003420</v>
      </c>
      <c r="B217" s="39" t="s">
        <v>568</v>
      </c>
      <c r="C217" s="39" t="s">
        <v>569</v>
      </c>
      <c r="D217" s="39" t="s">
        <v>570</v>
      </c>
      <c r="E217" s="39" t="s">
        <v>571</v>
      </c>
      <c r="F217" s="40">
        <v>2</v>
      </c>
      <c r="G217" s="41" t="s">
        <v>923</v>
      </c>
      <c r="H217" s="41">
        <v>3000</v>
      </c>
      <c r="I217" s="41">
        <v>42</v>
      </c>
      <c r="J217" s="42">
        <v>2.1499999999999998E-2</v>
      </c>
      <c r="K217" s="42">
        <f t="shared" si="6"/>
        <v>4.2999999999999997E-2</v>
      </c>
      <c r="L217" s="44"/>
      <c r="M217" s="44" t="s">
        <v>902</v>
      </c>
    </row>
    <row r="218" spans="1:13" ht="37" customHeight="1" x14ac:dyDescent="0.3">
      <c r="A218" s="1">
        <v>311007331</v>
      </c>
      <c r="B218" s="2" t="s">
        <v>573</v>
      </c>
      <c r="C218" s="2" t="s">
        <v>574</v>
      </c>
      <c r="D218" s="2" t="s">
        <v>570</v>
      </c>
      <c r="E218" s="2" t="s">
        <v>575</v>
      </c>
      <c r="F218" s="13">
        <v>2</v>
      </c>
      <c r="G218" s="1" t="s">
        <v>576</v>
      </c>
      <c r="H218" s="1">
        <v>3000</v>
      </c>
      <c r="I218" s="1">
        <v>85</v>
      </c>
      <c r="J218" s="14">
        <v>0.12</v>
      </c>
      <c r="K218" s="14">
        <f t="shared" si="6"/>
        <v>0.24</v>
      </c>
      <c r="L218" s="15"/>
      <c r="M218" s="15"/>
    </row>
    <row r="219" spans="1:13" ht="37" customHeight="1" x14ac:dyDescent="0.3">
      <c r="A219" s="1" t="s">
        <v>578</v>
      </c>
      <c r="B219" s="2" t="s">
        <v>579</v>
      </c>
      <c r="C219" s="2" t="s">
        <v>580</v>
      </c>
      <c r="D219" s="2" t="s">
        <v>581</v>
      </c>
      <c r="E219" s="2" t="s">
        <v>582</v>
      </c>
      <c r="F219" s="13">
        <v>1</v>
      </c>
      <c r="G219" s="1" t="s">
        <v>583</v>
      </c>
      <c r="H219" s="1">
        <v>2000</v>
      </c>
      <c r="I219" s="1">
        <v>70</v>
      </c>
      <c r="J219" s="14">
        <v>0.22</v>
      </c>
      <c r="K219" s="14">
        <f t="shared" si="6"/>
        <v>0.22</v>
      </c>
      <c r="L219" s="15"/>
      <c r="M219" s="15"/>
    </row>
    <row r="220" spans="1:13" ht="37" customHeight="1" x14ac:dyDescent="0.3">
      <c r="A220" s="1">
        <v>411000151</v>
      </c>
      <c r="B220" s="2" t="s">
        <v>584</v>
      </c>
      <c r="C220" s="2" t="s">
        <v>585</v>
      </c>
      <c r="D220" s="2" t="s">
        <v>586</v>
      </c>
      <c r="E220" s="2" t="s">
        <v>587</v>
      </c>
      <c r="F220" s="13">
        <v>8</v>
      </c>
      <c r="G220" s="1"/>
      <c r="H220" s="1"/>
      <c r="I220" s="1"/>
      <c r="J220" s="14">
        <v>9.7999999999999997E-3</v>
      </c>
      <c r="K220" s="14">
        <f t="shared" si="6"/>
        <v>7.8399999999999997E-2</v>
      </c>
      <c r="L220" s="15"/>
      <c r="M220" s="15"/>
    </row>
    <row r="221" spans="1:13" ht="37" customHeight="1" x14ac:dyDescent="0.3">
      <c r="A221" s="1">
        <v>411000331</v>
      </c>
      <c r="B221" s="2" t="s">
        <v>588</v>
      </c>
      <c r="C221" s="2" t="s">
        <v>589</v>
      </c>
      <c r="D221" s="2" t="s">
        <v>590</v>
      </c>
      <c r="E221" s="2" t="s">
        <v>591</v>
      </c>
      <c r="F221" s="13">
        <v>1</v>
      </c>
      <c r="G221" s="1" t="s">
        <v>592</v>
      </c>
      <c r="H221" s="1">
        <v>3000</v>
      </c>
      <c r="I221" s="1">
        <v>35</v>
      </c>
      <c r="J221" s="14">
        <v>1.6E-2</v>
      </c>
      <c r="K221" s="14">
        <f t="shared" si="6"/>
        <v>1.6E-2</v>
      </c>
      <c r="L221" s="15"/>
      <c r="M221" s="15"/>
    </row>
    <row r="222" spans="1:13" ht="37" customHeight="1" x14ac:dyDescent="0.3">
      <c r="A222" s="1" t="s">
        <v>593</v>
      </c>
      <c r="B222" s="2" t="s">
        <v>924</v>
      </c>
      <c r="C222" s="2" t="s">
        <v>595</v>
      </c>
      <c r="D222" s="2" t="s">
        <v>586</v>
      </c>
      <c r="E222" s="2" t="s">
        <v>596</v>
      </c>
      <c r="F222" s="13">
        <v>1</v>
      </c>
      <c r="G222" s="1"/>
      <c r="H222" s="1"/>
      <c r="I222" s="1"/>
      <c r="J222" s="14">
        <v>2.2200000000000001E-2</v>
      </c>
      <c r="K222" s="14">
        <f t="shared" si="6"/>
        <v>2.2200000000000001E-2</v>
      </c>
      <c r="L222" s="15"/>
      <c r="M222" s="15"/>
    </row>
    <row r="223" spans="1:13" ht="37" customHeight="1" x14ac:dyDescent="0.3">
      <c r="A223" s="1" t="s">
        <v>597</v>
      </c>
      <c r="B223" s="2" t="s">
        <v>598</v>
      </c>
      <c r="C223" s="2" t="s">
        <v>599</v>
      </c>
      <c r="D223" s="2" t="s">
        <v>600</v>
      </c>
      <c r="E223" s="2" t="s">
        <v>601</v>
      </c>
      <c r="F223" s="13">
        <v>3</v>
      </c>
      <c r="G223" s="1"/>
      <c r="H223" s="1"/>
      <c r="I223" s="1"/>
      <c r="J223" s="14">
        <v>6.1000000000000004E-3</v>
      </c>
      <c r="K223" s="14">
        <f t="shared" si="6"/>
        <v>1.83E-2</v>
      </c>
      <c r="L223" s="15"/>
      <c r="M223" s="15"/>
    </row>
    <row r="224" spans="1:13" ht="37" customHeight="1" x14ac:dyDescent="0.3">
      <c r="A224" s="1" t="s">
        <v>602</v>
      </c>
      <c r="B224" s="2" t="s">
        <v>925</v>
      </c>
      <c r="C224" s="2" t="s">
        <v>604</v>
      </c>
      <c r="D224" s="2" t="s">
        <v>605</v>
      </c>
      <c r="E224" s="2" t="s">
        <v>606</v>
      </c>
      <c r="F224" s="13">
        <v>1</v>
      </c>
      <c r="G224" s="1" t="s">
        <v>607</v>
      </c>
      <c r="H224" s="1">
        <v>3000</v>
      </c>
      <c r="I224" s="1">
        <v>28</v>
      </c>
      <c r="J224" s="14">
        <v>3.85E-2</v>
      </c>
      <c r="K224" s="14">
        <f t="shared" si="6"/>
        <v>3.85E-2</v>
      </c>
      <c r="L224" s="15"/>
      <c r="M224" s="15"/>
    </row>
    <row r="225" spans="1:13" ht="37" customHeight="1" x14ac:dyDescent="0.3">
      <c r="A225" s="1">
        <v>551091013</v>
      </c>
      <c r="B225" s="2" t="s">
        <v>608</v>
      </c>
      <c r="C225" s="2" t="s">
        <v>609</v>
      </c>
      <c r="D225" s="2" t="s">
        <v>610</v>
      </c>
      <c r="E225" s="2" t="s">
        <v>611</v>
      </c>
      <c r="F225" s="13">
        <v>1</v>
      </c>
      <c r="G225" s="1" t="s">
        <v>607</v>
      </c>
      <c r="H225" s="1">
        <v>3000</v>
      </c>
      <c r="I225" s="1">
        <v>28</v>
      </c>
      <c r="J225" s="14">
        <v>7.9000000000000001E-2</v>
      </c>
      <c r="K225" s="14">
        <f t="shared" si="6"/>
        <v>7.9000000000000001E-2</v>
      </c>
      <c r="L225" s="15"/>
      <c r="M225" s="15"/>
    </row>
    <row r="226" spans="1:13" ht="37" customHeight="1" x14ac:dyDescent="0.3">
      <c r="A226" s="1" t="s">
        <v>612</v>
      </c>
      <c r="B226" s="2" t="s">
        <v>926</v>
      </c>
      <c r="C226" s="2" t="s">
        <v>614</v>
      </c>
      <c r="D226" s="2" t="s">
        <v>605</v>
      </c>
      <c r="E226" s="2" t="s">
        <v>615</v>
      </c>
      <c r="F226" s="13">
        <v>1</v>
      </c>
      <c r="G226" s="1" t="s">
        <v>607</v>
      </c>
      <c r="H226" s="1">
        <v>3000</v>
      </c>
      <c r="I226" s="1">
        <v>28</v>
      </c>
      <c r="J226" s="14">
        <v>3.85E-2</v>
      </c>
      <c r="K226" s="14">
        <f t="shared" si="6"/>
        <v>3.85E-2</v>
      </c>
      <c r="L226" s="15"/>
      <c r="M226" s="15"/>
    </row>
    <row r="227" spans="1:13" ht="37" customHeight="1" x14ac:dyDescent="0.3">
      <c r="A227" s="1" t="s">
        <v>616</v>
      </c>
      <c r="B227" s="2" t="s">
        <v>927</v>
      </c>
      <c r="C227" s="2" t="s">
        <v>618</v>
      </c>
      <c r="D227" s="2" t="s">
        <v>605</v>
      </c>
      <c r="E227" s="2" t="s">
        <v>619</v>
      </c>
      <c r="F227" s="13">
        <v>1</v>
      </c>
      <c r="G227" s="1" t="s">
        <v>607</v>
      </c>
      <c r="H227" s="1">
        <v>3000</v>
      </c>
      <c r="I227" s="1">
        <v>28</v>
      </c>
      <c r="J227" s="14">
        <v>3.85E-2</v>
      </c>
      <c r="K227" s="14">
        <f t="shared" si="6"/>
        <v>3.85E-2</v>
      </c>
      <c r="L227" s="15"/>
      <c r="M227" s="15"/>
    </row>
    <row r="228" spans="1:13" ht="37" customHeight="1" x14ac:dyDescent="0.3">
      <c r="A228" s="1">
        <v>712965008</v>
      </c>
      <c r="B228" s="2" t="s">
        <v>620</v>
      </c>
      <c r="C228" s="2" t="s">
        <v>621</v>
      </c>
      <c r="D228" s="2"/>
      <c r="E228" s="2" t="s">
        <v>622</v>
      </c>
      <c r="F228" s="13">
        <v>1</v>
      </c>
      <c r="G228" s="1" t="s">
        <v>623</v>
      </c>
      <c r="H228" s="1">
        <v>1000</v>
      </c>
      <c r="I228" s="1">
        <v>21</v>
      </c>
      <c r="J228" s="14">
        <v>8.5000000000000006E-2</v>
      </c>
      <c r="K228" s="14">
        <f t="shared" si="6"/>
        <v>8.5000000000000006E-2</v>
      </c>
      <c r="L228" s="15"/>
      <c r="M228" s="15"/>
    </row>
    <row r="229" spans="1:13" s="4" customFormat="1" ht="37" customHeight="1" x14ac:dyDescent="0.3">
      <c r="A229" s="24"/>
      <c r="B229" s="22" t="s">
        <v>624</v>
      </c>
      <c r="C229" s="22" t="s">
        <v>625</v>
      </c>
      <c r="D229" s="22" t="s">
        <v>625</v>
      </c>
      <c r="E229" s="22" t="s">
        <v>626</v>
      </c>
      <c r="F229" s="23">
        <v>1</v>
      </c>
      <c r="G229" s="24" t="s">
        <v>537</v>
      </c>
      <c r="H229" s="24">
        <v>1000</v>
      </c>
      <c r="I229" s="24">
        <v>42</v>
      </c>
      <c r="J229" s="25">
        <v>0.56000000000000005</v>
      </c>
      <c r="K229" s="25">
        <v>0</v>
      </c>
      <c r="L229" s="26"/>
      <c r="M229" s="26"/>
    </row>
    <row r="230" spans="1:13" s="4" customFormat="1" ht="37" customHeight="1" x14ac:dyDescent="0.3">
      <c r="A230" s="24"/>
      <c r="B230" s="22" t="s">
        <v>624</v>
      </c>
      <c r="C230" s="22" t="s">
        <v>625</v>
      </c>
      <c r="D230" s="22" t="s">
        <v>625</v>
      </c>
      <c r="E230" s="22" t="s">
        <v>626</v>
      </c>
      <c r="F230" s="23">
        <v>1</v>
      </c>
      <c r="G230" s="24" t="s">
        <v>537</v>
      </c>
      <c r="H230" s="24">
        <v>1000</v>
      </c>
      <c r="I230" s="24">
        <v>42</v>
      </c>
      <c r="J230" s="25">
        <v>0.48</v>
      </c>
      <c r="K230" s="25">
        <v>0</v>
      </c>
      <c r="L230" s="57" t="s">
        <v>928</v>
      </c>
      <c r="M230" s="26"/>
    </row>
    <row r="231" spans="1:13" s="32" customFormat="1" ht="37" customHeight="1" x14ac:dyDescent="0.3">
      <c r="A231" s="41"/>
      <c r="B231" s="39" t="s">
        <v>929</v>
      </c>
      <c r="C231" s="39" t="s">
        <v>930</v>
      </c>
      <c r="D231" s="39" t="s">
        <v>930</v>
      </c>
      <c r="E231" s="39" t="s">
        <v>626</v>
      </c>
      <c r="F231" s="40">
        <v>1</v>
      </c>
      <c r="G231" s="41" t="s">
        <v>815</v>
      </c>
      <c r="H231" s="41">
        <v>1000</v>
      </c>
      <c r="I231" s="41">
        <v>28</v>
      </c>
      <c r="J231" s="42">
        <v>0.35</v>
      </c>
      <c r="K231" s="42">
        <f t="shared" si="6"/>
        <v>0.35</v>
      </c>
      <c r="L231" s="44"/>
      <c r="M231" s="44" t="s">
        <v>858</v>
      </c>
    </row>
    <row r="232" spans="1:13" ht="37" customHeight="1" x14ac:dyDescent="0.3">
      <c r="A232" s="1">
        <v>722959915</v>
      </c>
      <c r="B232" s="2" t="s">
        <v>931</v>
      </c>
      <c r="C232" s="2" t="s">
        <v>628</v>
      </c>
      <c r="D232" s="2" t="s">
        <v>628</v>
      </c>
      <c r="E232" s="2" t="s">
        <v>629</v>
      </c>
      <c r="F232" s="13">
        <v>2</v>
      </c>
      <c r="G232" s="1" t="s">
        <v>630</v>
      </c>
      <c r="H232" s="1">
        <v>1000</v>
      </c>
      <c r="I232" s="1">
        <v>56</v>
      </c>
      <c r="J232" s="14">
        <v>0.7</v>
      </c>
      <c r="K232" s="14">
        <f t="shared" si="6"/>
        <v>1.4</v>
      </c>
      <c r="L232" s="15"/>
      <c r="M232" s="15"/>
    </row>
    <row r="233" spans="1:13" ht="37" customHeight="1" x14ac:dyDescent="0.3">
      <c r="A233" s="1"/>
      <c r="B233" s="2" t="s">
        <v>631</v>
      </c>
      <c r="C233" s="2" t="s">
        <v>632</v>
      </c>
      <c r="D233" s="2" t="s">
        <v>633</v>
      </c>
      <c r="E233" s="2" t="s">
        <v>634</v>
      </c>
      <c r="F233" s="13">
        <v>1</v>
      </c>
      <c r="G233" s="1"/>
      <c r="H233" s="1"/>
      <c r="I233" s="1"/>
      <c r="J233" s="14">
        <v>6.7999999999999996E-3</v>
      </c>
      <c r="K233" s="14">
        <f t="shared" si="6"/>
        <v>6.7999999999999996E-3</v>
      </c>
      <c r="L233" s="15"/>
      <c r="M233" s="15"/>
    </row>
    <row r="234" spans="1:13" ht="37" customHeight="1" x14ac:dyDescent="0.3">
      <c r="A234" s="1"/>
      <c r="B234" s="2" t="s">
        <v>635</v>
      </c>
      <c r="C234" s="2" t="s">
        <v>636</v>
      </c>
      <c r="D234" s="2" t="s">
        <v>637</v>
      </c>
      <c r="E234" s="2" t="s">
        <v>638</v>
      </c>
      <c r="F234" s="13">
        <v>4</v>
      </c>
      <c r="G234" s="1"/>
      <c r="H234" s="1"/>
      <c r="I234" s="1"/>
      <c r="J234" s="14">
        <v>1.9E-2</v>
      </c>
      <c r="K234" s="14">
        <f t="shared" si="6"/>
        <v>7.5999999999999998E-2</v>
      </c>
      <c r="L234" s="15"/>
      <c r="M234" s="15"/>
    </row>
    <row r="235" spans="1:13" ht="37" customHeight="1" x14ac:dyDescent="0.3">
      <c r="A235" s="1"/>
      <c r="B235" s="2" t="s">
        <v>639</v>
      </c>
      <c r="C235" s="2" t="s">
        <v>640</v>
      </c>
      <c r="D235" s="2" t="s">
        <v>546</v>
      </c>
      <c r="E235" s="2" t="s">
        <v>641</v>
      </c>
      <c r="F235" s="13">
        <v>2</v>
      </c>
      <c r="G235" s="1"/>
      <c r="H235" s="1"/>
      <c r="I235" s="1"/>
      <c r="J235" s="14">
        <v>7.7999999999999996E-3</v>
      </c>
      <c r="K235" s="14">
        <f t="shared" si="6"/>
        <v>1.5599999999999999E-2</v>
      </c>
      <c r="L235" s="15"/>
      <c r="M235" s="15"/>
    </row>
    <row r="236" spans="1:13" ht="37" customHeight="1" x14ac:dyDescent="0.3">
      <c r="A236" s="1"/>
      <c r="B236" s="2" t="s">
        <v>642</v>
      </c>
      <c r="C236" s="2" t="s">
        <v>643</v>
      </c>
      <c r="D236" s="2" t="s">
        <v>644</v>
      </c>
      <c r="E236" s="2" t="s">
        <v>645</v>
      </c>
      <c r="F236" s="13">
        <v>1</v>
      </c>
      <c r="G236" s="1"/>
      <c r="H236" s="1"/>
      <c r="I236" s="1"/>
      <c r="J236" s="14">
        <v>1.4E-2</v>
      </c>
      <c r="K236" s="14">
        <f t="shared" si="6"/>
        <v>1.4E-2</v>
      </c>
      <c r="L236" s="15"/>
      <c r="M236" s="15"/>
    </row>
    <row r="237" spans="1:13" s="4" customFormat="1" ht="37" customHeight="1" x14ac:dyDescent="0.3">
      <c r="A237" s="24"/>
      <c r="B237" s="22" t="s">
        <v>646</v>
      </c>
      <c r="C237" s="22" t="s">
        <v>647</v>
      </c>
      <c r="D237" s="22" t="s">
        <v>648</v>
      </c>
      <c r="E237" s="22" t="s">
        <v>649</v>
      </c>
      <c r="F237" s="23">
        <v>6</v>
      </c>
      <c r="G237" s="24" t="s">
        <v>548</v>
      </c>
      <c r="H237" s="24">
        <v>1000</v>
      </c>
      <c r="I237" s="24">
        <v>21</v>
      </c>
      <c r="J237" s="25">
        <v>1.8499999999999999E-2</v>
      </c>
      <c r="K237" s="25">
        <v>0</v>
      </c>
      <c r="L237" s="26"/>
      <c r="M237" s="26"/>
    </row>
    <row r="238" spans="1:13" s="4" customFormat="1" ht="37" customHeight="1" x14ac:dyDescent="0.3">
      <c r="A238" s="24"/>
      <c r="B238" s="22" t="s">
        <v>661</v>
      </c>
      <c r="C238" s="22" t="s">
        <v>640</v>
      </c>
      <c r="D238" s="22" t="s">
        <v>546</v>
      </c>
      <c r="E238" s="22" t="s">
        <v>662</v>
      </c>
      <c r="F238" s="23">
        <v>1</v>
      </c>
      <c r="G238" s="24"/>
      <c r="H238" s="24"/>
      <c r="I238" s="24"/>
      <c r="J238" s="25">
        <v>1.54E-2</v>
      </c>
      <c r="K238" s="25">
        <v>0</v>
      </c>
      <c r="L238" s="26"/>
      <c r="M238" s="26"/>
    </row>
    <row r="239" spans="1:13" s="32" customFormat="1" ht="37" customHeight="1" x14ac:dyDescent="0.3">
      <c r="A239" s="41" t="s">
        <v>932</v>
      </c>
      <c r="B239" s="39" t="s">
        <v>933</v>
      </c>
      <c r="C239" s="39" t="s">
        <v>934</v>
      </c>
      <c r="D239" s="39" t="s">
        <v>935</v>
      </c>
      <c r="E239" s="39" t="s">
        <v>936</v>
      </c>
      <c r="F239" s="40">
        <v>7</v>
      </c>
      <c r="G239" s="41" t="s">
        <v>548</v>
      </c>
      <c r="H239" s="41">
        <v>1000</v>
      </c>
      <c r="I239" s="41">
        <v>21</v>
      </c>
      <c r="J239" s="42">
        <v>1.4500000000000001E-2</v>
      </c>
      <c r="K239" s="42">
        <f>J239*F239</f>
        <v>0.10150000000000001</v>
      </c>
      <c r="L239" s="44"/>
      <c r="M239" s="44" t="s">
        <v>902</v>
      </c>
    </row>
    <row r="240" spans="1:13" ht="37" customHeight="1" x14ac:dyDescent="0.3">
      <c r="A240" s="1"/>
      <c r="B240" s="2" t="s">
        <v>650</v>
      </c>
      <c r="C240" s="2" t="s">
        <v>651</v>
      </c>
      <c r="D240" s="2" t="s">
        <v>542</v>
      </c>
      <c r="E240" s="2" t="s">
        <v>652</v>
      </c>
      <c r="F240" s="13">
        <v>8</v>
      </c>
      <c r="G240" s="1"/>
      <c r="H240" s="1"/>
      <c r="I240" s="1"/>
      <c r="J240" s="14">
        <v>1.35E-2</v>
      </c>
      <c r="K240" s="14">
        <f>J240*F240</f>
        <v>0.108</v>
      </c>
      <c r="L240" s="15"/>
      <c r="M240" s="15"/>
    </row>
    <row r="241" spans="1:13" ht="37" customHeight="1" x14ac:dyDescent="0.3">
      <c r="A241" s="1"/>
      <c r="B241" s="2" t="s">
        <v>653</v>
      </c>
      <c r="C241" s="2" t="s">
        <v>654</v>
      </c>
      <c r="D241" s="2" t="s">
        <v>542</v>
      </c>
      <c r="E241" s="2" t="s">
        <v>655</v>
      </c>
      <c r="F241" s="13">
        <v>4</v>
      </c>
      <c r="G241" s="1" t="s">
        <v>548</v>
      </c>
      <c r="H241" s="1">
        <v>2000</v>
      </c>
      <c r="I241" s="1">
        <v>35</v>
      </c>
      <c r="J241" s="14">
        <v>1.4E-2</v>
      </c>
      <c r="K241" s="14">
        <f>J241*F241</f>
        <v>5.6000000000000001E-2</v>
      </c>
      <c r="L241" s="15"/>
      <c r="M241" s="15"/>
    </row>
    <row r="242" spans="1:13" ht="37" customHeight="1" x14ac:dyDescent="0.3">
      <c r="A242" s="1"/>
      <c r="B242" s="2" t="s">
        <v>656</v>
      </c>
      <c r="C242" s="2" t="s">
        <v>657</v>
      </c>
      <c r="D242" s="2" t="s">
        <v>542</v>
      </c>
      <c r="E242" s="2" t="s">
        <v>658</v>
      </c>
      <c r="F242" s="13">
        <v>2</v>
      </c>
      <c r="G242" s="1"/>
      <c r="H242" s="1"/>
      <c r="I242" s="1"/>
      <c r="J242" s="14">
        <v>1.54E-2</v>
      </c>
      <c r="K242" s="14">
        <f>J242*F242</f>
        <v>3.0800000000000001E-2</v>
      </c>
      <c r="L242" s="15"/>
      <c r="M242" s="15"/>
    </row>
    <row r="243" spans="1:13" ht="37" customHeight="1" x14ac:dyDescent="0.3">
      <c r="A243" s="1"/>
      <c r="B243" s="2" t="s">
        <v>659</v>
      </c>
      <c r="C243" s="2" t="s">
        <v>632</v>
      </c>
      <c r="D243" s="2" t="s">
        <v>542</v>
      </c>
      <c r="E243" s="2" t="s">
        <v>660</v>
      </c>
      <c r="F243" s="13">
        <v>2</v>
      </c>
      <c r="G243" s="1"/>
      <c r="H243" s="1"/>
      <c r="I243" s="1"/>
      <c r="J243" s="14">
        <v>1.2500000000000001E-2</v>
      </c>
      <c r="K243" s="14">
        <f>J243*F243</f>
        <v>2.5000000000000001E-2</v>
      </c>
      <c r="L243" s="15"/>
      <c r="M243" s="15"/>
    </row>
    <row r="244" spans="1:13" ht="37" customHeight="1" x14ac:dyDescent="0.3">
      <c r="A244" s="1" t="s">
        <v>663</v>
      </c>
      <c r="B244" s="2" t="s">
        <v>664</v>
      </c>
      <c r="C244" s="2" t="s">
        <v>665</v>
      </c>
      <c r="D244" s="2" t="s">
        <v>666</v>
      </c>
      <c r="E244" s="2" t="s">
        <v>667</v>
      </c>
      <c r="F244" s="13">
        <v>2</v>
      </c>
      <c r="G244" s="1" t="s">
        <v>668</v>
      </c>
      <c r="H244" s="1">
        <v>5000</v>
      </c>
      <c r="I244" s="1">
        <v>56</v>
      </c>
      <c r="J244" s="14">
        <v>8.1000000000000003E-2</v>
      </c>
      <c r="K244" s="14">
        <f t="shared" si="6"/>
        <v>0.16200000000000001</v>
      </c>
      <c r="L244" s="15"/>
      <c r="M244" s="15"/>
    </row>
    <row r="245" spans="1:13" ht="37" customHeight="1" x14ac:dyDescent="0.3">
      <c r="A245" s="1"/>
      <c r="B245" s="2" t="s">
        <v>669</v>
      </c>
      <c r="C245" s="2" t="s">
        <v>670</v>
      </c>
      <c r="D245" s="2" t="s">
        <v>671</v>
      </c>
      <c r="E245" s="2" t="s">
        <v>672</v>
      </c>
      <c r="F245" s="13">
        <v>2</v>
      </c>
      <c r="G245" s="1"/>
      <c r="H245" s="1"/>
      <c r="I245" s="1"/>
      <c r="J245" s="14">
        <v>6.3E-3</v>
      </c>
      <c r="K245" s="14">
        <f t="shared" si="6"/>
        <v>1.26E-2</v>
      </c>
      <c r="L245" s="15"/>
      <c r="M245" s="15"/>
    </row>
    <row r="246" spans="1:13" ht="37" customHeight="1" x14ac:dyDescent="0.3">
      <c r="A246" s="58" t="s">
        <v>673</v>
      </c>
      <c r="B246" s="2" t="s">
        <v>674</v>
      </c>
      <c r="C246" s="2" t="s">
        <v>675</v>
      </c>
      <c r="D246" s="2" t="s">
        <v>671</v>
      </c>
      <c r="E246" s="2" t="s">
        <v>676</v>
      </c>
      <c r="F246" s="13">
        <v>6</v>
      </c>
      <c r="G246" s="1" t="s">
        <v>592</v>
      </c>
      <c r="H246" s="1">
        <v>3000</v>
      </c>
      <c r="I246" s="1">
        <v>45</v>
      </c>
      <c r="J246" s="14">
        <v>1.0500000000000001E-2</v>
      </c>
      <c r="K246" s="14">
        <f t="shared" si="6"/>
        <v>6.3E-2</v>
      </c>
      <c r="L246" s="15"/>
      <c r="M246" s="15"/>
    </row>
    <row r="247" spans="1:13" ht="37" customHeight="1" x14ac:dyDescent="0.3">
      <c r="A247" s="1">
        <v>411002024</v>
      </c>
      <c r="B247" s="2" t="s">
        <v>677</v>
      </c>
      <c r="C247" s="2" t="s">
        <v>678</v>
      </c>
      <c r="D247" s="2" t="s">
        <v>586</v>
      </c>
      <c r="E247" s="2" t="s">
        <v>679</v>
      </c>
      <c r="F247" s="13">
        <v>1</v>
      </c>
      <c r="G247" s="1" t="s">
        <v>592</v>
      </c>
      <c r="H247" s="1">
        <v>3000</v>
      </c>
      <c r="I247" s="1">
        <v>45</v>
      </c>
      <c r="J247" s="14">
        <v>1.6500000000000001E-2</v>
      </c>
      <c r="K247" s="14">
        <f t="shared" si="6"/>
        <v>1.6500000000000001E-2</v>
      </c>
      <c r="L247" s="15"/>
      <c r="M247" s="15"/>
    </row>
    <row r="248" spans="1:13" ht="37" customHeight="1" x14ac:dyDescent="0.3">
      <c r="A248" s="1" t="s">
        <v>680</v>
      </c>
      <c r="B248" s="2" t="s">
        <v>681</v>
      </c>
      <c r="C248" s="2" t="s">
        <v>682</v>
      </c>
      <c r="D248" s="2" t="s">
        <v>586</v>
      </c>
      <c r="E248" s="2" t="s">
        <v>683</v>
      </c>
      <c r="F248" s="13">
        <v>1</v>
      </c>
      <c r="G248" s="1"/>
      <c r="H248" s="1"/>
      <c r="I248" s="1"/>
      <c r="J248" s="14">
        <v>1.0200000000000001E-2</v>
      </c>
      <c r="K248" s="14">
        <f t="shared" si="6"/>
        <v>1.0200000000000001E-2</v>
      </c>
      <c r="L248" s="15"/>
      <c r="M248" s="15"/>
    </row>
    <row r="249" spans="1:13" ht="37" customHeight="1" x14ac:dyDescent="0.3">
      <c r="A249" s="1">
        <v>441010401</v>
      </c>
      <c r="B249" s="2" t="s">
        <v>684</v>
      </c>
      <c r="C249" s="2" t="s">
        <v>685</v>
      </c>
      <c r="D249" s="2" t="s">
        <v>671</v>
      </c>
      <c r="E249" s="2" t="s">
        <v>686</v>
      </c>
      <c r="F249" s="13">
        <v>1</v>
      </c>
      <c r="G249" s="1"/>
      <c r="H249" s="1"/>
      <c r="I249" s="1"/>
      <c r="J249" s="14">
        <v>1.4999999999999999E-2</v>
      </c>
      <c r="K249" s="14">
        <f t="shared" si="6"/>
        <v>1.4999999999999999E-2</v>
      </c>
      <c r="L249" s="15"/>
      <c r="M249" s="15"/>
    </row>
    <row r="250" spans="1:13" s="4" customFormat="1" ht="37" customHeight="1" x14ac:dyDescent="0.3">
      <c r="A250" s="24" t="s">
        <v>687</v>
      </c>
      <c r="B250" s="22" t="s">
        <v>688</v>
      </c>
      <c r="C250" s="22" t="s">
        <v>689</v>
      </c>
      <c r="D250" s="22" t="s">
        <v>690</v>
      </c>
      <c r="E250" s="22" t="s">
        <v>691</v>
      </c>
      <c r="F250" s="23">
        <v>4</v>
      </c>
      <c r="G250" s="24"/>
      <c r="H250" s="24"/>
      <c r="I250" s="24"/>
      <c r="J250" s="25">
        <v>8.0999999999999996E-3</v>
      </c>
      <c r="K250" s="25">
        <v>0</v>
      </c>
      <c r="L250" s="26"/>
      <c r="M250" s="26"/>
    </row>
    <row r="251" spans="1:13" s="32" customFormat="1" ht="37" customHeight="1" x14ac:dyDescent="0.3">
      <c r="A251" s="41" t="s">
        <v>937</v>
      </c>
      <c r="B251" s="39" t="s">
        <v>938</v>
      </c>
      <c r="C251" s="39" t="s">
        <v>939</v>
      </c>
      <c r="D251" s="39" t="s">
        <v>690</v>
      </c>
      <c r="E251" s="39" t="s">
        <v>691</v>
      </c>
      <c r="F251" s="40">
        <v>4</v>
      </c>
      <c r="G251" s="41"/>
      <c r="H251" s="41"/>
      <c r="I251" s="41"/>
      <c r="J251" s="42">
        <v>3.5000000000000001E-3</v>
      </c>
      <c r="K251" s="42">
        <f t="shared" si="6"/>
        <v>1.4E-2</v>
      </c>
      <c r="L251" s="44"/>
      <c r="M251" s="44" t="s">
        <v>902</v>
      </c>
    </row>
    <row r="252" spans="1:13" ht="37" customHeight="1" x14ac:dyDescent="0.3">
      <c r="A252" s="1" t="s">
        <v>692</v>
      </c>
      <c r="B252" s="2" t="s">
        <v>693</v>
      </c>
      <c r="C252" s="2" t="s">
        <v>694</v>
      </c>
      <c r="D252" s="2" t="s">
        <v>690</v>
      </c>
      <c r="E252" s="2" t="s">
        <v>695</v>
      </c>
      <c r="F252" s="13">
        <v>1</v>
      </c>
      <c r="G252" s="1"/>
      <c r="H252" s="1"/>
      <c r="I252" s="1"/>
      <c r="J252" s="14">
        <v>3.5200000000000002E-2</v>
      </c>
      <c r="K252" s="14">
        <f t="shared" si="6"/>
        <v>3.5200000000000002E-2</v>
      </c>
      <c r="L252" s="15"/>
      <c r="M252" s="15"/>
    </row>
    <row r="253" spans="1:13" ht="37" customHeight="1" x14ac:dyDescent="0.3">
      <c r="A253" s="1"/>
      <c r="B253" s="2" t="s">
        <v>696</v>
      </c>
      <c r="C253" s="2" t="s">
        <v>697</v>
      </c>
      <c r="D253" s="2" t="s">
        <v>551</v>
      </c>
      <c r="E253" s="2" t="s">
        <v>698</v>
      </c>
      <c r="F253" s="13">
        <v>6</v>
      </c>
      <c r="G253" s="1"/>
      <c r="H253" s="1"/>
      <c r="I253" s="1"/>
      <c r="J253" s="14">
        <v>0.02</v>
      </c>
      <c r="K253" s="14">
        <f t="shared" si="6"/>
        <v>0.12</v>
      </c>
      <c r="L253" s="15"/>
      <c r="M253" s="15"/>
    </row>
    <row r="254" spans="1:13" ht="37" customHeight="1" x14ac:dyDescent="0.3">
      <c r="A254" s="1"/>
      <c r="B254" s="2" t="s">
        <v>699</v>
      </c>
      <c r="C254" s="2" t="s">
        <v>700</v>
      </c>
      <c r="D254" s="2" t="s">
        <v>701</v>
      </c>
      <c r="E254" s="2" t="s">
        <v>702</v>
      </c>
      <c r="F254" s="13">
        <v>2</v>
      </c>
      <c r="G254" s="1" t="s">
        <v>548</v>
      </c>
      <c r="H254" s="1">
        <v>500</v>
      </c>
      <c r="I254" s="1">
        <v>21</v>
      </c>
      <c r="J254" s="14">
        <v>3.2399999999999998E-2</v>
      </c>
      <c r="K254" s="14">
        <f t="shared" si="6"/>
        <v>6.4799999999999996E-2</v>
      </c>
      <c r="L254" s="15"/>
      <c r="M254" s="15"/>
    </row>
    <row r="255" spans="1:13" ht="37" customHeight="1" x14ac:dyDescent="0.3">
      <c r="A255" s="1"/>
      <c r="B255" s="2" t="s">
        <v>703</v>
      </c>
      <c r="C255" s="2" t="s">
        <v>704</v>
      </c>
      <c r="D255" s="2" t="s">
        <v>705</v>
      </c>
      <c r="E255" s="2" t="s">
        <v>706</v>
      </c>
      <c r="F255" s="13">
        <v>1</v>
      </c>
      <c r="G255" s="1" t="s">
        <v>707</v>
      </c>
      <c r="H255" s="1">
        <v>1680</v>
      </c>
      <c r="I255" s="1">
        <v>35</v>
      </c>
      <c r="J255" s="14">
        <v>3.6764999999999999</v>
      </c>
      <c r="K255" s="14">
        <f t="shared" si="6"/>
        <v>3.6764999999999999</v>
      </c>
      <c r="L255" s="15"/>
      <c r="M255" s="15"/>
    </row>
    <row r="256" spans="1:13" ht="37" customHeight="1" x14ac:dyDescent="0.3">
      <c r="A256" s="1"/>
      <c r="B256" s="2" t="s">
        <v>708</v>
      </c>
      <c r="C256" s="2" t="s">
        <v>643</v>
      </c>
      <c r="D256" s="2" t="s">
        <v>644</v>
      </c>
      <c r="E256" s="2" t="s">
        <v>709</v>
      </c>
      <c r="F256" s="13">
        <v>1</v>
      </c>
      <c r="G256" s="1"/>
      <c r="H256" s="1"/>
      <c r="I256" s="1"/>
      <c r="J256" s="14">
        <v>1.9E-2</v>
      </c>
      <c r="K256" s="14">
        <f t="shared" si="6"/>
        <v>1.9E-2</v>
      </c>
      <c r="L256" s="15"/>
      <c r="M256" s="15"/>
    </row>
    <row r="257" spans="1:13" ht="37" customHeight="1" x14ac:dyDescent="0.3">
      <c r="A257" s="1"/>
      <c r="B257" s="2" t="s">
        <v>710</v>
      </c>
      <c r="C257" s="2" t="s">
        <v>711</v>
      </c>
      <c r="D257" s="2" t="s">
        <v>712</v>
      </c>
      <c r="E257" s="2" t="s">
        <v>713</v>
      </c>
      <c r="F257" s="13">
        <v>1</v>
      </c>
      <c r="G257" s="1" t="s">
        <v>623</v>
      </c>
      <c r="H257" s="1">
        <v>1000</v>
      </c>
      <c r="I257" s="1">
        <v>21</v>
      </c>
      <c r="J257" s="14">
        <v>2.6499999999999999E-2</v>
      </c>
      <c r="K257" s="14">
        <f t="shared" si="6"/>
        <v>2.6499999999999999E-2</v>
      </c>
      <c r="L257" s="15"/>
      <c r="M257" s="15"/>
    </row>
    <row r="258" spans="1:13" s="4" customFormat="1" ht="37" customHeight="1" x14ac:dyDescent="0.3">
      <c r="A258" s="24" t="s">
        <v>714</v>
      </c>
      <c r="B258" s="22" t="s">
        <v>715</v>
      </c>
      <c r="C258" s="22" t="s">
        <v>716</v>
      </c>
      <c r="D258" s="22" t="s">
        <v>530</v>
      </c>
      <c r="E258" s="22" t="s">
        <v>717</v>
      </c>
      <c r="F258" s="23">
        <v>2</v>
      </c>
      <c r="G258" s="24" t="s">
        <v>718</v>
      </c>
      <c r="H258" s="24">
        <v>5000</v>
      </c>
      <c r="I258" s="24">
        <v>196</v>
      </c>
      <c r="J258" s="25">
        <v>0.25</v>
      </c>
      <c r="K258" s="25">
        <v>0</v>
      </c>
      <c r="L258" s="26"/>
      <c r="M258" s="26"/>
    </row>
    <row r="259" spans="1:13" s="32" customFormat="1" ht="43.85" customHeight="1" x14ac:dyDescent="0.3">
      <c r="A259" s="41" t="s">
        <v>940</v>
      </c>
      <c r="B259" s="39" t="s">
        <v>941</v>
      </c>
      <c r="C259" s="39" t="s">
        <v>942</v>
      </c>
      <c r="D259" s="39" t="s">
        <v>530</v>
      </c>
      <c r="E259" s="39" t="s">
        <v>717</v>
      </c>
      <c r="F259" s="40">
        <v>2</v>
      </c>
      <c r="G259" s="41" t="s">
        <v>532</v>
      </c>
      <c r="H259" s="41">
        <v>3000</v>
      </c>
      <c r="I259" s="41">
        <v>56</v>
      </c>
      <c r="J259" s="42">
        <v>0.154</v>
      </c>
      <c r="K259" s="42">
        <f t="shared" si="6"/>
        <v>0.308</v>
      </c>
      <c r="L259" s="59"/>
      <c r="M259" s="44" t="s">
        <v>943</v>
      </c>
    </row>
    <row r="260" spans="1:13" ht="87" customHeight="1" x14ac:dyDescent="0.3">
      <c r="A260" s="16" t="s">
        <v>719</v>
      </c>
      <c r="B260" s="17" t="s">
        <v>720</v>
      </c>
      <c r="C260" s="17" t="s">
        <v>721</v>
      </c>
      <c r="D260" s="17" t="s">
        <v>722</v>
      </c>
      <c r="E260" s="17" t="s">
        <v>944</v>
      </c>
      <c r="F260" s="60">
        <v>13</v>
      </c>
      <c r="G260" s="16" t="s">
        <v>576</v>
      </c>
      <c r="H260" s="16">
        <v>100000</v>
      </c>
      <c r="I260" s="16">
        <v>45</v>
      </c>
      <c r="J260" s="19">
        <v>0.13</v>
      </c>
      <c r="K260" s="19">
        <f t="shared" si="6"/>
        <v>1.69</v>
      </c>
      <c r="L260" s="61" t="s">
        <v>945</v>
      </c>
      <c r="M260" s="55" t="s">
        <v>946</v>
      </c>
    </row>
    <row r="261" spans="1:13" ht="37" customHeight="1" x14ac:dyDescent="0.3">
      <c r="A261" s="1">
        <v>311521220</v>
      </c>
      <c r="B261" s="2" t="s">
        <v>725</v>
      </c>
      <c r="C261" s="2" t="s">
        <v>726</v>
      </c>
      <c r="D261" s="2" t="s">
        <v>727</v>
      </c>
      <c r="E261" s="2" t="s">
        <v>728</v>
      </c>
      <c r="F261" s="13">
        <v>2</v>
      </c>
      <c r="G261" s="1" t="s">
        <v>729</v>
      </c>
      <c r="H261" s="1">
        <v>2000</v>
      </c>
      <c r="I261" s="1">
        <v>112</v>
      </c>
      <c r="J261" s="14">
        <v>0.35</v>
      </c>
      <c r="K261" s="14">
        <f t="shared" si="6"/>
        <v>0.7</v>
      </c>
      <c r="L261" s="15"/>
      <c r="M261" s="15"/>
    </row>
    <row r="262" spans="1:13" ht="37" customHeight="1" x14ac:dyDescent="0.3">
      <c r="A262" s="58">
        <v>311107404</v>
      </c>
      <c r="B262" s="2" t="s">
        <v>730</v>
      </c>
      <c r="C262" s="2" t="s">
        <v>731</v>
      </c>
      <c r="D262" s="2" t="s">
        <v>732</v>
      </c>
      <c r="E262" s="2" t="s">
        <v>733</v>
      </c>
      <c r="F262" s="13">
        <v>1</v>
      </c>
      <c r="G262" s="1" t="s">
        <v>576</v>
      </c>
      <c r="H262" s="1">
        <v>2500</v>
      </c>
      <c r="I262" s="1">
        <v>45</v>
      </c>
      <c r="J262" s="14">
        <v>0.04</v>
      </c>
      <c r="K262" s="14">
        <f t="shared" si="6"/>
        <v>0.04</v>
      </c>
      <c r="L262" s="15"/>
      <c r="M262" s="15"/>
    </row>
    <row r="263" spans="1:13" ht="37" customHeight="1" x14ac:dyDescent="0.3">
      <c r="A263" s="1">
        <v>312007146</v>
      </c>
      <c r="B263" s="2" t="s">
        <v>734</v>
      </c>
      <c r="C263" s="2" t="s">
        <v>735</v>
      </c>
      <c r="D263" s="2" t="s">
        <v>736</v>
      </c>
      <c r="E263" s="2" t="s">
        <v>737</v>
      </c>
      <c r="F263" s="13">
        <v>1</v>
      </c>
      <c r="G263" s="1" t="s">
        <v>738</v>
      </c>
      <c r="H263" s="1">
        <v>3000</v>
      </c>
      <c r="I263" s="1">
        <v>85</v>
      </c>
      <c r="J263" s="14">
        <v>2.1000000000000001E-2</v>
      </c>
      <c r="K263" s="14">
        <f t="shared" si="6"/>
        <v>2.1000000000000001E-2</v>
      </c>
      <c r="L263" s="15"/>
      <c r="M263" s="15"/>
    </row>
    <row r="264" spans="1:13" ht="43.85" customHeight="1" x14ac:dyDescent="0.3">
      <c r="A264" s="58"/>
      <c r="B264" s="2" t="s">
        <v>947</v>
      </c>
      <c r="C264" s="2" t="s">
        <v>948</v>
      </c>
      <c r="D264" s="2" t="s">
        <v>741</v>
      </c>
      <c r="E264" s="2" t="s">
        <v>742</v>
      </c>
      <c r="F264" s="13">
        <v>1</v>
      </c>
      <c r="G264" s="1"/>
      <c r="H264" s="1">
        <v>2500</v>
      </c>
      <c r="I264" s="1">
        <v>85</v>
      </c>
      <c r="J264" s="62">
        <v>0.1</v>
      </c>
      <c r="K264" s="14">
        <f t="shared" si="6"/>
        <v>0.1</v>
      </c>
      <c r="L264" s="61" t="s">
        <v>949</v>
      </c>
      <c r="M264" s="55" t="s">
        <v>950</v>
      </c>
    </row>
    <row r="265" spans="1:13" ht="43.85" customHeight="1" x14ac:dyDescent="0.3">
      <c r="A265" s="58"/>
      <c r="B265" s="63" t="s">
        <v>951</v>
      </c>
      <c r="C265" s="2" t="s">
        <v>952</v>
      </c>
      <c r="D265" s="2"/>
      <c r="E265" s="2"/>
      <c r="F265" s="13">
        <v>2</v>
      </c>
      <c r="G265" s="1"/>
      <c r="H265" s="1"/>
      <c r="I265" s="1"/>
      <c r="J265" s="62">
        <v>0.13200000000000001</v>
      </c>
      <c r="K265" s="14">
        <f t="shared" si="6"/>
        <v>0.26400000000000001</v>
      </c>
      <c r="L265" s="61" t="s">
        <v>949</v>
      </c>
      <c r="M265" s="55" t="s">
        <v>953</v>
      </c>
    </row>
    <row r="266" spans="1:13" ht="37" customHeight="1" x14ac:dyDescent="0.3">
      <c r="A266" s="1">
        <v>310470142</v>
      </c>
      <c r="B266" s="2" t="s">
        <v>744</v>
      </c>
      <c r="C266" s="2" t="s">
        <v>745</v>
      </c>
      <c r="D266" s="2" t="s">
        <v>565</v>
      </c>
      <c r="E266" s="2" t="s">
        <v>746</v>
      </c>
      <c r="F266" s="13">
        <v>1</v>
      </c>
      <c r="G266" s="1" t="s">
        <v>583</v>
      </c>
      <c r="H266" s="1">
        <v>3000</v>
      </c>
      <c r="I266" s="1">
        <v>35</v>
      </c>
      <c r="J266" s="14">
        <v>0.05</v>
      </c>
      <c r="K266" s="14">
        <f t="shared" si="6"/>
        <v>0.05</v>
      </c>
      <c r="L266" s="15"/>
      <c r="M266" s="15"/>
    </row>
    <row r="267" spans="1:13" s="32" customFormat="1" ht="37" customHeight="1" x14ac:dyDescent="0.3">
      <c r="A267" s="41">
        <v>311308090</v>
      </c>
      <c r="B267" s="39" t="s">
        <v>747</v>
      </c>
      <c r="C267" s="39" t="s">
        <v>748</v>
      </c>
      <c r="D267" s="39" t="s">
        <v>671</v>
      </c>
      <c r="E267" s="39" t="s">
        <v>749</v>
      </c>
      <c r="F267" s="40">
        <v>1</v>
      </c>
      <c r="G267" s="41"/>
      <c r="H267" s="41"/>
      <c r="I267" s="41"/>
      <c r="J267" s="42">
        <v>1.9E-2</v>
      </c>
      <c r="K267" s="42">
        <f t="shared" ref="K267:K299" si="7">J267*F267</f>
        <v>1.9E-2</v>
      </c>
      <c r="L267" s="44"/>
      <c r="M267" s="44" t="s">
        <v>902</v>
      </c>
    </row>
    <row r="268" spans="1:13" s="4" customFormat="1" ht="37" customHeight="1" x14ac:dyDescent="0.3">
      <c r="A268" s="64">
        <v>421012045</v>
      </c>
      <c r="B268" s="22" t="s">
        <v>750</v>
      </c>
      <c r="C268" s="22" t="s">
        <v>751</v>
      </c>
      <c r="D268" s="22"/>
      <c r="E268" s="22" t="s">
        <v>752</v>
      </c>
      <c r="F268" s="23">
        <v>1</v>
      </c>
      <c r="G268" s="24"/>
      <c r="H268" s="24"/>
      <c r="I268" s="24"/>
      <c r="J268" s="25">
        <v>0.88580000000000003</v>
      </c>
      <c r="K268" s="25">
        <v>0</v>
      </c>
      <c r="L268" s="26"/>
      <c r="M268" s="26"/>
    </row>
    <row r="269" spans="1:13" s="33" customFormat="1" ht="37" customHeight="1" x14ac:dyDescent="0.3">
      <c r="A269" s="65"/>
      <c r="B269" s="39" t="s">
        <v>954</v>
      </c>
      <c r="C269" s="39"/>
      <c r="D269" s="39"/>
      <c r="E269" s="39" t="s">
        <v>752</v>
      </c>
      <c r="F269" s="40">
        <v>1</v>
      </c>
      <c r="G269" s="41"/>
      <c r="H269" s="41"/>
      <c r="I269" s="41"/>
      <c r="J269" s="42">
        <v>0.6</v>
      </c>
      <c r="K269" s="42">
        <f t="shared" si="7"/>
        <v>0.6</v>
      </c>
      <c r="L269" s="44"/>
      <c r="M269" s="44" t="s">
        <v>902</v>
      </c>
    </row>
    <row r="270" spans="1:13" s="4" customFormat="1" ht="43.85" customHeight="1" x14ac:dyDescent="0.3">
      <c r="A270" s="24" t="s">
        <v>754</v>
      </c>
      <c r="B270" s="22" t="s">
        <v>955</v>
      </c>
      <c r="C270" s="22" t="s">
        <v>956</v>
      </c>
      <c r="D270" s="22" t="s">
        <v>757</v>
      </c>
      <c r="E270" s="22" t="s">
        <v>758</v>
      </c>
      <c r="F270" s="23">
        <v>2</v>
      </c>
      <c r="G270" s="24" t="s">
        <v>532</v>
      </c>
      <c r="H270" s="24">
        <v>4000</v>
      </c>
      <c r="I270" s="24">
        <v>56</v>
      </c>
      <c r="J270" s="66">
        <v>0.34200000000000003</v>
      </c>
      <c r="K270" s="25">
        <v>0</v>
      </c>
      <c r="L270" s="67" t="s">
        <v>957</v>
      </c>
      <c r="M270" s="57" t="s">
        <v>958</v>
      </c>
    </row>
    <row r="271" spans="1:13" ht="37" customHeight="1" x14ac:dyDescent="0.3">
      <c r="A271" s="1">
        <v>310245191</v>
      </c>
      <c r="B271" s="2" t="s">
        <v>760</v>
      </c>
      <c r="C271" s="68" t="s">
        <v>761</v>
      </c>
      <c r="D271" s="2" t="s">
        <v>762</v>
      </c>
      <c r="E271" s="2" t="s">
        <v>763</v>
      </c>
      <c r="F271" s="13">
        <v>4</v>
      </c>
      <c r="G271" s="1" t="s">
        <v>532</v>
      </c>
      <c r="H271" s="1">
        <v>4000</v>
      </c>
      <c r="I271" s="1">
        <v>56</v>
      </c>
      <c r="J271" s="14">
        <v>0.2646</v>
      </c>
      <c r="K271" s="14">
        <f t="shared" si="7"/>
        <v>1.0584</v>
      </c>
      <c r="L271" s="15"/>
      <c r="M271" s="15"/>
    </row>
    <row r="272" spans="1:13" ht="37" customHeight="1" x14ac:dyDescent="0.3">
      <c r="A272" s="1">
        <v>310403281</v>
      </c>
      <c r="B272" s="2" t="s">
        <v>764</v>
      </c>
      <c r="C272" s="2" t="s">
        <v>765</v>
      </c>
      <c r="D272" s="2" t="s">
        <v>565</v>
      </c>
      <c r="E272" s="2" t="s">
        <v>766</v>
      </c>
      <c r="F272" s="13">
        <v>1</v>
      </c>
      <c r="G272" s="1" t="s">
        <v>767</v>
      </c>
      <c r="H272" s="1">
        <v>3000</v>
      </c>
      <c r="I272" s="1">
        <v>35</v>
      </c>
      <c r="J272" s="14">
        <v>5.1999999999999998E-2</v>
      </c>
      <c r="K272" s="14">
        <f t="shared" si="7"/>
        <v>5.1999999999999998E-2</v>
      </c>
      <c r="L272" s="15"/>
      <c r="M272" s="15"/>
    </row>
    <row r="273" spans="1:13" ht="37" customHeight="1" x14ac:dyDescent="0.3">
      <c r="A273" s="1">
        <v>310403359</v>
      </c>
      <c r="B273" s="2" t="s">
        <v>768</v>
      </c>
      <c r="C273" s="2" t="s">
        <v>769</v>
      </c>
      <c r="D273" s="2" t="s">
        <v>565</v>
      </c>
      <c r="E273" s="2" t="s">
        <v>770</v>
      </c>
      <c r="F273" s="13">
        <v>1</v>
      </c>
      <c r="G273" s="1" t="s">
        <v>767</v>
      </c>
      <c r="H273" s="1">
        <v>3000</v>
      </c>
      <c r="I273" s="1">
        <v>35</v>
      </c>
      <c r="J273" s="14">
        <v>5.8999999999999997E-2</v>
      </c>
      <c r="K273" s="14">
        <f t="shared" si="7"/>
        <v>5.8999999999999997E-2</v>
      </c>
      <c r="L273" s="15"/>
      <c r="M273" s="15"/>
    </row>
    <row r="274" spans="1:13" ht="37" customHeight="1" x14ac:dyDescent="0.3">
      <c r="A274" s="1">
        <v>310200132</v>
      </c>
      <c r="B274" s="2" t="s">
        <v>771</v>
      </c>
      <c r="C274" s="2" t="s">
        <v>772</v>
      </c>
      <c r="D274" s="2" t="s">
        <v>773</v>
      </c>
      <c r="E274" s="2" t="s">
        <v>774</v>
      </c>
      <c r="F274" s="13">
        <v>1</v>
      </c>
      <c r="G274" s="1" t="s">
        <v>572</v>
      </c>
      <c r="H274" s="1">
        <v>490</v>
      </c>
      <c r="I274" s="1">
        <v>35</v>
      </c>
      <c r="J274" s="14">
        <v>0.60299999999999998</v>
      </c>
      <c r="K274" s="14">
        <f t="shared" si="7"/>
        <v>0.60299999999999998</v>
      </c>
      <c r="L274" s="15"/>
      <c r="M274" s="15"/>
    </row>
    <row r="275" spans="1:13" ht="37" customHeight="1" x14ac:dyDescent="0.3">
      <c r="A275" s="58">
        <v>511132847</v>
      </c>
      <c r="B275" s="2" t="s">
        <v>775</v>
      </c>
      <c r="C275" s="2" t="s">
        <v>776</v>
      </c>
      <c r="D275" s="2" t="s">
        <v>777</v>
      </c>
      <c r="E275" s="2" t="s">
        <v>778</v>
      </c>
      <c r="F275" s="13">
        <v>1</v>
      </c>
      <c r="G275" s="1" t="s">
        <v>779</v>
      </c>
      <c r="H275" s="1">
        <v>2000</v>
      </c>
      <c r="I275" s="1">
        <v>28</v>
      </c>
      <c r="J275" s="14">
        <v>4.4999999999999998E-2</v>
      </c>
      <c r="K275" s="14">
        <f t="shared" si="7"/>
        <v>4.4999999999999998E-2</v>
      </c>
      <c r="L275" s="15"/>
      <c r="M275" s="15"/>
    </row>
    <row r="276" spans="1:13" ht="37" customHeight="1" x14ac:dyDescent="0.3">
      <c r="A276" s="1">
        <v>511130007</v>
      </c>
      <c r="B276" s="2" t="s">
        <v>780</v>
      </c>
      <c r="C276" s="2" t="s">
        <v>776</v>
      </c>
      <c r="D276" s="2" t="s">
        <v>781</v>
      </c>
      <c r="E276" s="2" t="s">
        <v>782</v>
      </c>
      <c r="F276" s="13">
        <v>1</v>
      </c>
      <c r="G276" s="1" t="s">
        <v>779</v>
      </c>
      <c r="H276" s="1">
        <v>1000</v>
      </c>
      <c r="I276" s="1">
        <v>35</v>
      </c>
      <c r="J276" s="14">
        <v>4.4999999999999998E-2</v>
      </c>
      <c r="K276" s="14">
        <f t="shared" si="7"/>
        <v>4.4999999999999998E-2</v>
      </c>
      <c r="L276" s="15"/>
      <c r="M276" s="15"/>
    </row>
    <row r="277" spans="1:13" ht="37" customHeight="1" x14ac:dyDescent="0.3">
      <c r="A277" s="1" t="s">
        <v>783</v>
      </c>
      <c r="B277" s="47" t="s">
        <v>784</v>
      </c>
      <c r="C277" s="2" t="s">
        <v>785</v>
      </c>
      <c r="D277" s="2" t="s">
        <v>786</v>
      </c>
      <c r="E277" s="2" t="s">
        <v>787</v>
      </c>
      <c r="F277" s="13">
        <v>2</v>
      </c>
      <c r="G277" s="1" t="s">
        <v>779</v>
      </c>
      <c r="H277" s="1">
        <v>3000</v>
      </c>
      <c r="I277" s="1">
        <v>35</v>
      </c>
      <c r="J277" s="14">
        <v>3.9E-2</v>
      </c>
      <c r="K277" s="14">
        <f t="shared" si="7"/>
        <v>7.8E-2</v>
      </c>
      <c r="L277" s="15"/>
      <c r="M277" s="15"/>
    </row>
    <row r="278" spans="1:13" ht="37" customHeight="1" x14ac:dyDescent="0.3">
      <c r="A278" s="1">
        <v>511130047</v>
      </c>
      <c r="B278" s="2" t="s">
        <v>788</v>
      </c>
      <c r="C278" s="2" t="s">
        <v>776</v>
      </c>
      <c r="D278" s="2" t="s">
        <v>786</v>
      </c>
      <c r="E278" s="2" t="s">
        <v>789</v>
      </c>
      <c r="F278" s="13">
        <v>1</v>
      </c>
      <c r="G278" s="1" t="s">
        <v>779</v>
      </c>
      <c r="H278" s="1">
        <v>3000</v>
      </c>
      <c r="I278" s="1">
        <v>35</v>
      </c>
      <c r="J278" s="14">
        <v>3.9E-2</v>
      </c>
      <c r="K278" s="14">
        <f t="shared" si="7"/>
        <v>3.9E-2</v>
      </c>
      <c r="L278" s="15"/>
      <c r="M278" s="15"/>
    </row>
    <row r="279" spans="1:13" ht="37" customHeight="1" x14ac:dyDescent="0.3">
      <c r="A279" s="58">
        <v>511110129</v>
      </c>
      <c r="B279" s="2" t="s">
        <v>790</v>
      </c>
      <c r="C279" s="2" t="s">
        <v>791</v>
      </c>
      <c r="D279" s="2" t="s">
        <v>792</v>
      </c>
      <c r="E279" s="2" t="s">
        <v>793</v>
      </c>
      <c r="F279" s="13">
        <v>1</v>
      </c>
      <c r="G279" s="1" t="s">
        <v>794</v>
      </c>
      <c r="H279" s="1">
        <v>2000</v>
      </c>
      <c r="I279" s="1">
        <v>42</v>
      </c>
      <c r="J279" s="14">
        <v>5.8900000000000001E-2</v>
      </c>
      <c r="K279" s="14">
        <f t="shared" si="7"/>
        <v>5.8900000000000001E-2</v>
      </c>
      <c r="L279" s="15"/>
      <c r="M279" s="15"/>
    </row>
    <row r="280" spans="1:13" ht="37" customHeight="1" x14ac:dyDescent="0.3">
      <c r="A280" s="1">
        <v>511130650</v>
      </c>
      <c r="B280" s="2" t="s">
        <v>795</v>
      </c>
      <c r="C280" s="2" t="s">
        <v>356</v>
      </c>
      <c r="D280" s="2" t="s">
        <v>781</v>
      </c>
      <c r="E280" s="2" t="s">
        <v>796</v>
      </c>
      <c r="F280" s="13">
        <v>1</v>
      </c>
      <c r="G280" s="1" t="s">
        <v>779</v>
      </c>
      <c r="H280" s="1">
        <v>1000</v>
      </c>
      <c r="I280" s="1">
        <v>35</v>
      </c>
      <c r="J280" s="14">
        <v>4.4999999999999998E-2</v>
      </c>
      <c r="K280" s="14">
        <f t="shared" si="7"/>
        <v>4.4999999999999998E-2</v>
      </c>
      <c r="L280" s="15"/>
      <c r="M280" s="15"/>
    </row>
    <row r="281" spans="1:13" ht="37" customHeight="1" x14ac:dyDescent="0.3">
      <c r="A281" s="1">
        <v>441016327</v>
      </c>
      <c r="B281" s="2" t="s">
        <v>797</v>
      </c>
      <c r="C281" s="2" t="s">
        <v>798</v>
      </c>
      <c r="D281" s="2" t="s">
        <v>736</v>
      </c>
      <c r="E281" s="2" t="s">
        <v>799</v>
      </c>
      <c r="F281" s="13">
        <v>4</v>
      </c>
      <c r="G281" s="1"/>
      <c r="H281" s="1"/>
      <c r="I281" s="1"/>
      <c r="J281" s="14">
        <v>3.5000000000000003E-2</v>
      </c>
      <c r="K281" s="14">
        <f t="shared" si="7"/>
        <v>0.14000000000000001</v>
      </c>
      <c r="L281" s="15"/>
      <c r="M281" s="15"/>
    </row>
    <row r="282" spans="1:13" s="32" customFormat="1" ht="37" customHeight="1" x14ac:dyDescent="0.3">
      <c r="A282" s="41">
        <v>441013230</v>
      </c>
      <c r="B282" s="74" t="s">
        <v>800</v>
      </c>
      <c r="C282" s="39" t="s">
        <v>801</v>
      </c>
      <c r="D282" s="39" t="s">
        <v>671</v>
      </c>
      <c r="E282" s="39" t="s">
        <v>802</v>
      </c>
      <c r="F282" s="40">
        <v>4</v>
      </c>
      <c r="G282" s="41"/>
      <c r="H282" s="41"/>
      <c r="I282" s="41"/>
      <c r="J282" s="42">
        <v>2.4500000000000001E-2</v>
      </c>
      <c r="K282" s="42">
        <f t="shared" si="7"/>
        <v>9.8000000000000004E-2</v>
      </c>
      <c r="L282" s="44"/>
      <c r="M282" s="44" t="s">
        <v>902</v>
      </c>
    </row>
    <row r="283" spans="1:13" ht="37" customHeight="1" x14ac:dyDescent="0.3">
      <c r="A283" s="1"/>
      <c r="B283" s="2" t="s">
        <v>15</v>
      </c>
      <c r="C283" s="2" t="s">
        <v>803</v>
      </c>
      <c r="D283" s="2" t="s">
        <v>804</v>
      </c>
      <c r="E283" s="2" t="s">
        <v>805</v>
      </c>
      <c r="F283" s="13">
        <v>0</v>
      </c>
      <c r="G283" s="1"/>
      <c r="H283" s="1"/>
      <c r="I283" s="1"/>
      <c r="J283" s="14"/>
      <c r="K283" s="14">
        <f t="shared" si="7"/>
        <v>0</v>
      </c>
      <c r="L283" s="15"/>
      <c r="M283" s="15"/>
    </row>
    <row r="284" spans="1:13" ht="37" customHeight="1" x14ac:dyDescent="0.3">
      <c r="A284" s="1">
        <v>471110357</v>
      </c>
      <c r="B284" s="2" t="s">
        <v>806</v>
      </c>
      <c r="C284" s="2" t="s">
        <v>807</v>
      </c>
      <c r="D284" s="2" t="s">
        <v>808</v>
      </c>
      <c r="E284" s="2" t="s">
        <v>809</v>
      </c>
      <c r="F284" s="13">
        <v>1</v>
      </c>
      <c r="G284" s="1"/>
      <c r="H284" s="1"/>
      <c r="I284" s="1"/>
      <c r="J284" s="14">
        <v>4.6100000000000002E-2</v>
      </c>
      <c r="K284" s="14">
        <f t="shared" si="7"/>
        <v>4.6100000000000002E-2</v>
      </c>
      <c r="L284" s="15"/>
      <c r="M284" s="15"/>
    </row>
    <row r="285" spans="1:13" ht="37" customHeight="1" x14ac:dyDescent="0.3">
      <c r="A285" s="1" t="s">
        <v>810</v>
      </c>
      <c r="B285" s="2" t="s">
        <v>811</v>
      </c>
      <c r="C285" s="2" t="s">
        <v>812</v>
      </c>
      <c r="D285" s="2" t="s">
        <v>813</v>
      </c>
      <c r="E285" s="2" t="s">
        <v>814</v>
      </c>
      <c r="F285" s="13">
        <v>1</v>
      </c>
      <c r="G285" s="1" t="s">
        <v>815</v>
      </c>
      <c r="H285" s="1">
        <v>1000</v>
      </c>
      <c r="I285" s="1">
        <v>21</v>
      </c>
      <c r="J285" s="14">
        <v>0.53800000000000003</v>
      </c>
      <c r="K285" s="14">
        <f t="shared" si="7"/>
        <v>0.53800000000000003</v>
      </c>
      <c r="L285" s="15"/>
      <c r="M285" s="15"/>
    </row>
    <row r="286" spans="1:13" ht="37" customHeight="1" x14ac:dyDescent="0.3">
      <c r="A286" s="1" t="s">
        <v>754</v>
      </c>
      <c r="B286" s="2" t="s">
        <v>816</v>
      </c>
      <c r="C286" s="2" t="s">
        <v>817</v>
      </c>
      <c r="D286" s="2" t="s">
        <v>671</v>
      </c>
      <c r="E286" s="2" t="s">
        <v>818</v>
      </c>
      <c r="F286" s="13">
        <v>1</v>
      </c>
      <c r="G286" s="1" t="s">
        <v>819</v>
      </c>
      <c r="H286" s="1">
        <v>3000</v>
      </c>
      <c r="I286" s="1">
        <v>21</v>
      </c>
      <c r="J286" s="14">
        <v>1.0999999999999999E-2</v>
      </c>
      <c r="K286" s="14">
        <f t="shared" si="7"/>
        <v>1.0999999999999999E-2</v>
      </c>
      <c r="L286" s="15"/>
      <c r="M286" s="15"/>
    </row>
    <row r="287" spans="1:13" s="4" customFormat="1" ht="37" customHeight="1" x14ac:dyDescent="0.3">
      <c r="A287" s="24" t="s">
        <v>820</v>
      </c>
      <c r="B287" s="22" t="s">
        <v>821</v>
      </c>
      <c r="C287" s="22" t="s">
        <v>822</v>
      </c>
      <c r="D287" s="22" t="s">
        <v>823</v>
      </c>
      <c r="E287" s="22" t="s">
        <v>824</v>
      </c>
      <c r="F287" s="23">
        <v>1</v>
      </c>
      <c r="G287" s="24" t="s">
        <v>576</v>
      </c>
      <c r="H287" s="24">
        <v>4000</v>
      </c>
      <c r="I287" s="24">
        <v>85</v>
      </c>
      <c r="J287" s="25">
        <v>0.26900000000000002</v>
      </c>
      <c r="K287" s="25">
        <v>0</v>
      </c>
      <c r="L287" s="26"/>
      <c r="M287" s="26"/>
    </row>
    <row r="288" spans="1:13" s="32" customFormat="1" ht="37" customHeight="1" x14ac:dyDescent="0.3">
      <c r="A288" s="41"/>
      <c r="B288" s="39" t="s">
        <v>959</v>
      </c>
      <c r="C288" s="39" t="s">
        <v>959</v>
      </c>
      <c r="D288" s="39" t="s">
        <v>823</v>
      </c>
      <c r="E288" s="39" t="s">
        <v>824</v>
      </c>
      <c r="F288" s="40">
        <v>1</v>
      </c>
      <c r="G288" s="41"/>
      <c r="H288" s="41"/>
      <c r="I288" s="41"/>
      <c r="J288" s="42">
        <v>0.255</v>
      </c>
      <c r="K288" s="42">
        <f t="shared" si="7"/>
        <v>0.255</v>
      </c>
      <c r="L288" s="44"/>
      <c r="M288" s="44" t="s">
        <v>902</v>
      </c>
    </row>
    <row r="289" spans="1:13" ht="37" customHeight="1" x14ac:dyDescent="0.3">
      <c r="A289" s="1" t="s">
        <v>825</v>
      </c>
      <c r="B289" s="2" t="s">
        <v>826</v>
      </c>
      <c r="C289" s="2" t="s">
        <v>827</v>
      </c>
      <c r="D289" s="2" t="s">
        <v>671</v>
      </c>
      <c r="E289" s="2" t="s">
        <v>828</v>
      </c>
      <c r="F289" s="13">
        <v>6</v>
      </c>
      <c r="G289" s="1" t="s">
        <v>738</v>
      </c>
      <c r="H289" s="1">
        <v>3000</v>
      </c>
      <c r="I289" s="1">
        <v>70</v>
      </c>
      <c r="J289" s="14">
        <v>1.6799999999999999E-2</v>
      </c>
      <c r="K289" s="14">
        <f t="shared" si="7"/>
        <v>0.1008</v>
      </c>
      <c r="L289" s="15"/>
      <c r="M289" s="15"/>
    </row>
    <row r="290" spans="1:13" s="4" customFormat="1" ht="37" customHeight="1" x14ac:dyDescent="0.3">
      <c r="A290" s="24">
        <v>421000006</v>
      </c>
      <c r="B290" s="22" t="s">
        <v>829</v>
      </c>
      <c r="C290" s="22" t="s">
        <v>830</v>
      </c>
      <c r="D290" s="22" t="s">
        <v>831</v>
      </c>
      <c r="E290" s="22" t="s">
        <v>832</v>
      </c>
      <c r="F290" s="23">
        <v>4</v>
      </c>
      <c r="G290" s="24"/>
      <c r="H290" s="24"/>
      <c r="I290" s="24"/>
      <c r="J290" s="25">
        <v>0.02</v>
      </c>
      <c r="K290" s="25">
        <v>0</v>
      </c>
      <c r="L290" s="26"/>
      <c r="M290" s="26"/>
    </row>
    <row r="291" spans="1:13" s="32" customFormat="1" ht="37" customHeight="1" x14ac:dyDescent="0.3">
      <c r="A291" s="41" t="s">
        <v>960</v>
      </c>
      <c r="B291" s="39" t="s">
        <v>961</v>
      </c>
      <c r="C291" s="39" t="s">
        <v>962</v>
      </c>
      <c r="D291" s="39" t="s">
        <v>831</v>
      </c>
      <c r="E291" s="39" t="s">
        <v>832</v>
      </c>
      <c r="F291" s="40">
        <v>4</v>
      </c>
      <c r="G291" s="41" t="s">
        <v>592</v>
      </c>
      <c r="H291" s="41">
        <v>3000</v>
      </c>
      <c r="I291" s="41">
        <v>35</v>
      </c>
      <c r="J291" s="42">
        <v>1.26E-2</v>
      </c>
      <c r="K291" s="42">
        <f t="shared" si="7"/>
        <v>5.04E-2</v>
      </c>
      <c r="L291" s="44"/>
      <c r="M291" s="44" t="s">
        <v>902</v>
      </c>
    </row>
    <row r="292" spans="1:13" s="4" customFormat="1" ht="37" customHeight="1" x14ac:dyDescent="0.3">
      <c r="A292" s="24">
        <v>421000056</v>
      </c>
      <c r="B292" s="22" t="s">
        <v>833</v>
      </c>
      <c r="C292" s="22" t="s">
        <v>834</v>
      </c>
      <c r="D292" s="22" t="s">
        <v>831</v>
      </c>
      <c r="E292" s="22" t="s">
        <v>835</v>
      </c>
      <c r="F292" s="23">
        <v>2</v>
      </c>
      <c r="G292" s="24"/>
      <c r="H292" s="24"/>
      <c r="I292" s="24"/>
      <c r="J292" s="25">
        <v>0.02</v>
      </c>
      <c r="K292" s="14">
        <f t="shared" si="7"/>
        <v>0.04</v>
      </c>
      <c r="L292" s="26"/>
      <c r="M292" s="26"/>
    </row>
    <row r="293" spans="1:13" s="32" customFormat="1" ht="37" customHeight="1" x14ac:dyDescent="0.3">
      <c r="A293" s="41" t="s">
        <v>963</v>
      </c>
      <c r="B293" s="39" t="s">
        <v>964</v>
      </c>
      <c r="C293" s="39"/>
      <c r="D293" s="39" t="s">
        <v>831</v>
      </c>
      <c r="E293" s="39" t="s">
        <v>835</v>
      </c>
      <c r="F293" s="40">
        <v>2</v>
      </c>
      <c r="G293" s="41" t="s">
        <v>592</v>
      </c>
      <c r="H293" s="41">
        <v>3000</v>
      </c>
      <c r="I293" s="41">
        <v>35</v>
      </c>
      <c r="J293" s="42">
        <v>1.26E-2</v>
      </c>
      <c r="K293" s="42">
        <f t="shared" si="7"/>
        <v>2.52E-2</v>
      </c>
      <c r="L293" s="44"/>
      <c r="M293" s="44" t="s">
        <v>902</v>
      </c>
    </row>
    <row r="294" spans="1:13" s="4" customFormat="1" ht="37" customHeight="1" x14ac:dyDescent="0.3">
      <c r="A294" s="24">
        <v>421013906</v>
      </c>
      <c r="B294" s="22" t="s">
        <v>836</v>
      </c>
      <c r="C294" s="22" t="s">
        <v>837</v>
      </c>
      <c r="D294" s="22" t="s">
        <v>831</v>
      </c>
      <c r="E294" s="22" t="s">
        <v>838</v>
      </c>
      <c r="F294" s="23">
        <v>2</v>
      </c>
      <c r="G294" s="24"/>
      <c r="H294" s="24"/>
      <c r="I294" s="24"/>
      <c r="J294" s="25">
        <v>8.2000000000000007E-3</v>
      </c>
      <c r="K294" s="25">
        <v>0</v>
      </c>
      <c r="L294" s="26"/>
      <c r="M294" s="26"/>
    </row>
    <row r="295" spans="1:13" s="32" customFormat="1" ht="37" customHeight="1" x14ac:dyDescent="0.3">
      <c r="A295" s="41" t="s">
        <v>965</v>
      </c>
      <c r="B295" s="39" t="s">
        <v>966</v>
      </c>
      <c r="C295" s="39" t="s">
        <v>967</v>
      </c>
      <c r="D295" s="39" t="s">
        <v>831</v>
      </c>
      <c r="E295" s="39" t="s">
        <v>838</v>
      </c>
      <c r="F295" s="40">
        <v>2</v>
      </c>
      <c r="G295" s="41"/>
      <c r="H295" s="41"/>
      <c r="I295" s="41"/>
      <c r="J295" s="42">
        <v>3.5000000000000001E-3</v>
      </c>
      <c r="K295" s="42">
        <f t="shared" si="7"/>
        <v>7.0000000000000001E-3</v>
      </c>
      <c r="L295" s="44"/>
      <c r="M295" s="44" t="s">
        <v>902</v>
      </c>
    </row>
    <row r="296" spans="1:13" ht="37" customHeight="1" x14ac:dyDescent="0.3">
      <c r="A296" s="1">
        <v>411000203</v>
      </c>
      <c r="B296" s="2" t="s">
        <v>839</v>
      </c>
      <c r="C296" s="2" t="s">
        <v>840</v>
      </c>
      <c r="D296" s="2" t="s">
        <v>590</v>
      </c>
      <c r="E296" s="2" t="s">
        <v>841</v>
      </c>
      <c r="F296" s="13">
        <v>2</v>
      </c>
      <c r="G296" s="1" t="s">
        <v>842</v>
      </c>
      <c r="H296" s="1">
        <v>3000</v>
      </c>
      <c r="I296" s="1">
        <v>28</v>
      </c>
      <c r="J296" s="14">
        <v>2.6499999999999999E-2</v>
      </c>
      <c r="K296" s="14">
        <f t="shared" si="7"/>
        <v>5.2999999999999999E-2</v>
      </c>
      <c r="L296" s="15"/>
      <c r="M296" s="15"/>
    </row>
    <row r="297" spans="1:13" s="4" customFormat="1" ht="37" customHeight="1" x14ac:dyDescent="0.3">
      <c r="A297" s="24" t="s">
        <v>754</v>
      </c>
      <c r="B297" s="22" t="s">
        <v>843</v>
      </c>
      <c r="C297" s="22" t="s">
        <v>844</v>
      </c>
      <c r="D297" s="22" t="s">
        <v>844</v>
      </c>
      <c r="E297" s="22" t="s">
        <v>845</v>
      </c>
      <c r="F297" s="24">
        <v>1</v>
      </c>
      <c r="G297" s="24" t="s">
        <v>846</v>
      </c>
      <c r="H297" s="24">
        <v>1000</v>
      </c>
      <c r="I297" s="24">
        <v>42</v>
      </c>
      <c r="J297" s="25">
        <v>0.115</v>
      </c>
      <c r="K297" s="25">
        <v>0</v>
      </c>
      <c r="L297" s="26"/>
      <c r="M297" s="26"/>
    </row>
    <row r="298" spans="1:13" s="32" customFormat="1" ht="37" customHeight="1" x14ac:dyDescent="0.3">
      <c r="A298" s="41" t="s">
        <v>754</v>
      </c>
      <c r="B298" s="39" t="s">
        <v>968</v>
      </c>
      <c r="C298" s="39" t="s">
        <v>969</v>
      </c>
      <c r="D298" s="39"/>
      <c r="E298" s="39" t="s">
        <v>845</v>
      </c>
      <c r="F298" s="41">
        <v>1</v>
      </c>
      <c r="G298" s="41" t="s">
        <v>846</v>
      </c>
      <c r="H298" s="41">
        <v>1000</v>
      </c>
      <c r="I298" s="41">
        <v>42</v>
      </c>
      <c r="J298" s="42">
        <v>0.22</v>
      </c>
      <c r="K298" s="42">
        <f t="shared" si="7"/>
        <v>0.22</v>
      </c>
      <c r="L298" s="44"/>
      <c r="M298" s="44" t="s">
        <v>970</v>
      </c>
    </row>
    <row r="299" spans="1:13" ht="37" customHeight="1" x14ac:dyDescent="0.3">
      <c r="A299" s="1" t="s">
        <v>851</v>
      </c>
      <c r="B299" s="2" t="s">
        <v>971</v>
      </c>
      <c r="C299" s="2"/>
      <c r="D299" s="2"/>
      <c r="E299" s="2"/>
      <c r="F299" s="13">
        <v>1</v>
      </c>
      <c r="G299" s="1"/>
      <c r="H299" s="1"/>
      <c r="I299" s="1"/>
      <c r="J299" s="14">
        <v>3.88</v>
      </c>
      <c r="K299" s="14">
        <f t="shared" si="7"/>
        <v>3.88</v>
      </c>
      <c r="L299" s="15"/>
      <c r="M299" s="15"/>
    </row>
    <row r="300" spans="1:13" ht="37" customHeight="1" x14ac:dyDescent="0.3">
      <c r="J300" s="29" t="s">
        <v>853</v>
      </c>
      <c r="K300" s="30">
        <f>SUM(K3:K299)</f>
        <v>27.933400000000006</v>
      </c>
      <c r="L300" s="69"/>
    </row>
  </sheetData>
  <sheetProtection formatCells="0" formatColumns="0" formatRows="0" insertColumns="0" insertRows="0" insertHyperlinks="0" deleteColumns="0" deleteRows="0" sort="0" autoFilter="0" pivotTables="0"/>
  <autoFilter ref="A2:M300" xr:uid="{00000000-0009-0000-0000-000003000000}"/>
  <mergeCells count="1">
    <mergeCell ref="A1:F1"/>
  </mergeCells>
  <phoneticPr fontId="22" type="noConversion"/>
  <pageMargins left="0.75" right="0.75" top="1" bottom="1" header="0.5" footer="0.5"/>
  <pageSetup paperSize="9" orientation="portrait"/>
  <ignoredErrors>
    <ignoredError sqref="H177 H18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8"/>
  <sheetViews>
    <sheetView zoomScale="85" zoomScaleNormal="85" workbookViewId="0">
      <pane ySplit="2" topLeftCell="A12" activePane="bottomLeft" state="frozen"/>
      <selection pane="bottomLeft" activeCell="B24" sqref="B24"/>
    </sheetView>
  </sheetViews>
  <sheetFormatPr defaultColWidth="8.5" defaultRowHeight="31" customHeight="1" x14ac:dyDescent="0.3"/>
  <cols>
    <col min="1" max="1" width="15.2109375" style="5" customWidth="1"/>
    <col min="2" max="2" width="34.5" style="6" customWidth="1"/>
    <col min="3" max="3" width="15.5" style="6" customWidth="1"/>
    <col min="4" max="4" width="14.78515625" style="6" customWidth="1"/>
    <col min="5" max="5" width="14.2109375" style="6" customWidth="1"/>
    <col min="6" max="6" width="7.7109375" style="7" customWidth="1"/>
    <col min="7" max="9" width="10.92578125" style="7" customWidth="1"/>
    <col min="10" max="11" width="13" style="7" customWidth="1"/>
    <col min="12" max="12" width="25.5703125" style="7" customWidth="1"/>
    <col min="13" max="13" width="25.35546875" style="5" customWidth="1"/>
    <col min="14" max="14" width="18.5" style="5" customWidth="1"/>
    <col min="15" max="16384" width="8.5" style="5"/>
  </cols>
  <sheetData>
    <row r="1" spans="1:14" ht="37.5" customHeight="1" x14ac:dyDescent="0.3">
      <c r="A1" s="77" t="s">
        <v>972</v>
      </c>
      <c r="B1" s="78"/>
      <c r="C1" s="78"/>
      <c r="D1" s="78"/>
      <c r="E1" s="78"/>
      <c r="F1" s="77"/>
    </row>
    <row r="2" spans="1:14" ht="31" customHeight="1" x14ac:dyDescent="0.3">
      <c r="A2" s="8" t="s">
        <v>3</v>
      </c>
      <c r="B2" s="9" t="s">
        <v>0</v>
      </c>
      <c r="C2" s="9" t="s">
        <v>4</v>
      </c>
      <c r="D2" s="9" t="s">
        <v>5</v>
      </c>
      <c r="E2" s="9" t="s">
        <v>6</v>
      </c>
      <c r="F2" s="8" t="s">
        <v>7</v>
      </c>
      <c r="G2" s="10" t="s">
        <v>8</v>
      </c>
      <c r="H2" s="10" t="s">
        <v>9</v>
      </c>
      <c r="I2" s="10" t="s">
        <v>10</v>
      </c>
      <c r="J2" s="11" t="s">
        <v>11</v>
      </c>
      <c r="K2" s="10" t="s">
        <v>12</v>
      </c>
      <c r="L2" s="10" t="s">
        <v>1</v>
      </c>
      <c r="M2" s="12" t="s">
        <v>13</v>
      </c>
      <c r="N2" s="12" t="s">
        <v>14</v>
      </c>
    </row>
    <row r="3" spans="1:14" ht="31" customHeight="1" x14ac:dyDescent="0.3">
      <c r="A3" s="1"/>
      <c r="B3" s="2" t="s">
        <v>305</v>
      </c>
      <c r="C3" s="2" t="s">
        <v>80</v>
      </c>
      <c r="D3" s="2" t="s">
        <v>194</v>
      </c>
      <c r="E3" s="2" t="s">
        <v>973</v>
      </c>
      <c r="F3" s="13">
        <v>5</v>
      </c>
      <c r="G3" s="1"/>
      <c r="H3" s="1"/>
      <c r="I3" s="1"/>
      <c r="J3" s="14">
        <v>1.2999999999999999E-3</v>
      </c>
      <c r="K3" s="14">
        <f t="shared" ref="K3:K9" si="0">J3*F3</f>
        <v>6.4999999999999997E-3</v>
      </c>
      <c r="L3" s="14"/>
      <c r="M3" s="15"/>
      <c r="N3" s="15"/>
    </row>
    <row r="4" spans="1:14" ht="31" customHeight="1" x14ac:dyDescent="0.3">
      <c r="A4" s="1"/>
      <c r="B4" s="2" t="s">
        <v>974</v>
      </c>
      <c r="C4" s="2" t="s">
        <v>975</v>
      </c>
      <c r="D4" s="2" t="s">
        <v>353</v>
      </c>
      <c r="E4" s="2" t="s">
        <v>976</v>
      </c>
      <c r="F4" s="13">
        <v>1</v>
      </c>
      <c r="G4" s="1"/>
      <c r="H4" s="1"/>
      <c r="I4" s="1"/>
      <c r="J4" s="14">
        <v>3.0000000000000001E-3</v>
      </c>
      <c r="K4" s="14">
        <f t="shared" si="0"/>
        <v>3.0000000000000001E-3</v>
      </c>
      <c r="L4" s="14"/>
      <c r="M4" s="15"/>
      <c r="N4" s="15"/>
    </row>
    <row r="5" spans="1:14" ht="31" customHeight="1" x14ac:dyDescent="0.3">
      <c r="A5" s="1"/>
      <c r="B5" s="2" t="s">
        <v>158</v>
      </c>
      <c r="C5" s="2" t="s">
        <v>61</v>
      </c>
      <c r="D5" s="2" t="s">
        <v>17</v>
      </c>
      <c r="E5" s="2" t="s">
        <v>977</v>
      </c>
      <c r="F5" s="13">
        <v>2</v>
      </c>
      <c r="G5" s="1"/>
      <c r="H5" s="1"/>
      <c r="I5" s="1"/>
      <c r="J5" s="14">
        <v>8.0000000000000004E-4</v>
      </c>
      <c r="K5" s="14">
        <f t="shared" si="0"/>
        <v>1.6000000000000001E-3</v>
      </c>
      <c r="L5" s="14"/>
      <c r="M5" s="15"/>
      <c r="N5" s="15"/>
    </row>
    <row r="6" spans="1:14" ht="31" customHeight="1" x14ac:dyDescent="0.3">
      <c r="A6" s="1"/>
      <c r="B6" s="2" t="s">
        <v>978</v>
      </c>
      <c r="C6" s="2" t="s">
        <v>979</v>
      </c>
      <c r="D6" s="2" t="s">
        <v>17</v>
      </c>
      <c r="E6" s="2" t="s">
        <v>980</v>
      </c>
      <c r="F6" s="13">
        <v>1</v>
      </c>
      <c r="G6" s="1"/>
      <c r="H6" s="1"/>
      <c r="I6" s="1"/>
      <c r="J6" s="14">
        <v>8.0000000000000004E-4</v>
      </c>
      <c r="K6" s="14">
        <f t="shared" si="0"/>
        <v>8.0000000000000004E-4</v>
      </c>
      <c r="L6" s="14"/>
      <c r="M6" s="15"/>
      <c r="N6" s="15"/>
    </row>
    <row r="7" spans="1:14" ht="31" customHeight="1" x14ac:dyDescent="0.3">
      <c r="A7" s="1"/>
      <c r="B7" s="2" t="s">
        <v>981</v>
      </c>
      <c r="C7" s="2" t="s">
        <v>982</v>
      </c>
      <c r="D7" s="2" t="s">
        <v>17</v>
      </c>
      <c r="E7" s="2" t="s">
        <v>983</v>
      </c>
      <c r="F7" s="13">
        <v>1</v>
      </c>
      <c r="G7" s="1"/>
      <c r="H7" s="1"/>
      <c r="I7" s="1"/>
      <c r="J7" s="14">
        <v>8.0000000000000004E-4</v>
      </c>
      <c r="K7" s="14">
        <f t="shared" si="0"/>
        <v>8.0000000000000004E-4</v>
      </c>
      <c r="L7" s="14"/>
      <c r="M7" s="15"/>
      <c r="N7" s="15"/>
    </row>
    <row r="8" spans="1:14" ht="31" customHeight="1" x14ac:dyDescent="0.3">
      <c r="A8" s="1"/>
      <c r="B8" s="2" t="s">
        <v>117</v>
      </c>
      <c r="C8" s="2" t="s">
        <v>118</v>
      </c>
      <c r="D8" s="2" t="s">
        <v>17</v>
      </c>
      <c r="E8" s="2" t="s">
        <v>984</v>
      </c>
      <c r="F8" s="13">
        <v>2</v>
      </c>
      <c r="G8" s="1"/>
      <c r="H8" s="1"/>
      <c r="I8" s="1"/>
      <c r="J8" s="14">
        <v>8.0000000000000004E-4</v>
      </c>
      <c r="K8" s="14">
        <f t="shared" si="0"/>
        <v>1.6000000000000001E-3</v>
      </c>
      <c r="L8" s="14"/>
      <c r="M8" s="15"/>
      <c r="N8" s="15"/>
    </row>
    <row r="9" spans="1:14" s="3" customFormat="1" ht="31" customHeight="1" x14ac:dyDescent="0.3">
      <c r="A9" s="16"/>
      <c r="B9" s="17" t="s">
        <v>985</v>
      </c>
      <c r="C9" s="17" t="s">
        <v>397</v>
      </c>
      <c r="D9" s="17" t="s">
        <v>374</v>
      </c>
      <c r="E9" s="17" t="s">
        <v>986</v>
      </c>
      <c r="F9" s="18">
        <v>6</v>
      </c>
      <c r="G9" s="16"/>
      <c r="H9" s="16"/>
      <c r="I9" s="16"/>
      <c r="J9" s="19">
        <v>4.3E-3</v>
      </c>
      <c r="K9" s="19">
        <f t="shared" si="0"/>
        <v>2.58E-2</v>
      </c>
      <c r="L9" s="19"/>
      <c r="M9" s="20" t="s">
        <v>902</v>
      </c>
      <c r="N9" s="20"/>
    </row>
    <row r="10" spans="1:14" s="4" customFormat="1" ht="31" customHeight="1" x14ac:dyDescent="0.3">
      <c r="A10" s="21">
        <v>214104104</v>
      </c>
      <c r="B10" s="22" t="s">
        <v>899</v>
      </c>
      <c r="C10" s="22" t="s">
        <v>371</v>
      </c>
      <c r="D10" s="22" t="s">
        <v>372</v>
      </c>
      <c r="E10" s="22" t="s">
        <v>987</v>
      </c>
      <c r="F10" s="23">
        <v>6</v>
      </c>
      <c r="G10" s="24"/>
      <c r="H10" s="24"/>
      <c r="I10" s="24"/>
      <c r="J10" s="25">
        <v>2E-3</v>
      </c>
      <c r="K10" s="25">
        <v>0</v>
      </c>
      <c r="L10" s="25"/>
      <c r="M10" s="26"/>
      <c r="N10" s="26"/>
    </row>
    <row r="11" spans="1:14" s="3" customFormat="1" ht="31" customHeight="1" x14ac:dyDescent="0.3">
      <c r="A11" s="16"/>
      <c r="B11" s="17" t="s">
        <v>900</v>
      </c>
      <c r="C11" s="17" t="s">
        <v>371</v>
      </c>
      <c r="D11" s="17" t="s">
        <v>374</v>
      </c>
      <c r="E11" s="17" t="s">
        <v>987</v>
      </c>
      <c r="F11" s="18">
        <v>6</v>
      </c>
      <c r="G11" s="16"/>
      <c r="H11" s="16"/>
      <c r="I11" s="16"/>
      <c r="J11" s="19">
        <v>1.5E-3</v>
      </c>
      <c r="K11" s="19">
        <f>J11*F11</f>
        <v>8.9999999999999993E-3</v>
      </c>
      <c r="L11" s="19"/>
      <c r="M11" s="20" t="s">
        <v>902</v>
      </c>
      <c r="N11" s="20"/>
    </row>
    <row r="12" spans="1:14" ht="31" customHeight="1" x14ac:dyDescent="0.3">
      <c r="A12" s="1"/>
      <c r="B12" s="2" t="s">
        <v>376</v>
      </c>
      <c r="C12" s="2" t="s">
        <v>377</v>
      </c>
      <c r="D12" s="2" t="s">
        <v>372</v>
      </c>
      <c r="E12" s="2" t="s">
        <v>988</v>
      </c>
      <c r="F12" s="13">
        <v>2</v>
      </c>
      <c r="G12" s="1"/>
      <c r="H12" s="1"/>
      <c r="I12" s="1"/>
      <c r="J12" s="14">
        <v>1.5E-3</v>
      </c>
      <c r="K12" s="14">
        <f>J12*F12</f>
        <v>3.0000000000000001E-3</v>
      </c>
      <c r="L12" s="14"/>
      <c r="M12" s="15"/>
      <c r="N12" s="15"/>
    </row>
    <row r="13" spans="1:14" s="3" customFormat="1" ht="31" customHeight="1" x14ac:dyDescent="0.3">
      <c r="A13" s="16"/>
      <c r="B13" s="17" t="s">
        <v>989</v>
      </c>
      <c r="C13" s="17" t="s">
        <v>515</v>
      </c>
      <c r="D13" s="17" t="s">
        <v>512</v>
      </c>
      <c r="E13" s="17" t="s">
        <v>990</v>
      </c>
      <c r="F13" s="18">
        <v>4</v>
      </c>
      <c r="G13" s="16"/>
      <c r="H13" s="16"/>
      <c r="I13" s="16"/>
      <c r="J13" s="19">
        <v>1.5599999999999999E-2</v>
      </c>
      <c r="K13" s="19">
        <f>J13*F13</f>
        <v>6.2399999999999997E-2</v>
      </c>
      <c r="L13" s="19"/>
      <c r="M13" s="20" t="s">
        <v>902</v>
      </c>
      <c r="N13" s="20"/>
    </row>
    <row r="14" spans="1:14" s="3" customFormat="1" ht="31" customHeight="1" x14ac:dyDescent="0.3">
      <c r="A14" s="16" t="s">
        <v>991</v>
      </c>
      <c r="B14" s="27" t="s">
        <v>992</v>
      </c>
      <c r="C14" s="17" t="s">
        <v>993</v>
      </c>
      <c r="D14" s="17" t="s">
        <v>690</v>
      </c>
      <c r="E14" s="17" t="s">
        <v>994</v>
      </c>
      <c r="F14" s="18">
        <v>9</v>
      </c>
      <c r="G14" s="16"/>
      <c r="H14" s="16"/>
      <c r="I14" s="16"/>
      <c r="J14" s="19">
        <v>3.5000000000000001E-3</v>
      </c>
      <c r="K14" s="19">
        <f t="shared" ref="K14:K24" si="1">J14*F14</f>
        <v>3.15E-2</v>
      </c>
      <c r="L14" s="19"/>
      <c r="M14" s="20" t="s">
        <v>902</v>
      </c>
      <c r="N14" s="20"/>
    </row>
    <row r="15" spans="1:14" ht="31" customHeight="1" x14ac:dyDescent="0.3">
      <c r="A15" s="1" t="s">
        <v>995</v>
      </c>
      <c r="B15" s="2" t="s">
        <v>996</v>
      </c>
      <c r="C15" s="2" t="s">
        <v>997</v>
      </c>
      <c r="D15" s="2" t="s">
        <v>17</v>
      </c>
      <c r="E15" s="2" t="s">
        <v>998</v>
      </c>
      <c r="F15" s="13">
        <v>6</v>
      </c>
      <c r="G15" s="1" t="s">
        <v>779</v>
      </c>
      <c r="H15" s="1">
        <v>10000</v>
      </c>
      <c r="I15" s="1">
        <v>56</v>
      </c>
      <c r="J15" s="14">
        <v>1.5E-3</v>
      </c>
      <c r="K15" s="14">
        <f t="shared" si="1"/>
        <v>8.9999999999999993E-3</v>
      </c>
      <c r="L15" s="14"/>
      <c r="M15" s="15"/>
      <c r="N15" s="15"/>
    </row>
    <row r="16" spans="1:14" ht="31" customHeight="1" x14ac:dyDescent="0.3">
      <c r="A16" s="1" t="s">
        <v>810</v>
      </c>
      <c r="B16" s="2" t="s">
        <v>999</v>
      </c>
      <c r="C16" s="2" t="s">
        <v>1000</v>
      </c>
      <c r="D16" s="2"/>
      <c r="E16" s="2" t="s">
        <v>1001</v>
      </c>
      <c r="F16" s="13">
        <v>1</v>
      </c>
      <c r="G16" s="1" t="s">
        <v>623</v>
      </c>
      <c r="H16" s="1">
        <v>2000</v>
      </c>
      <c r="I16" s="1">
        <v>21</v>
      </c>
      <c r="J16" s="14">
        <v>6.6000000000000003E-2</v>
      </c>
      <c r="K16" s="14">
        <f t="shared" si="1"/>
        <v>6.6000000000000003E-2</v>
      </c>
      <c r="L16" s="14"/>
      <c r="M16" s="15"/>
      <c r="N16" s="15"/>
    </row>
    <row r="17" spans="1:14" ht="31" customHeight="1" x14ac:dyDescent="0.3">
      <c r="A17" s="1">
        <v>170000196</v>
      </c>
      <c r="B17" s="2" t="s">
        <v>1002</v>
      </c>
      <c r="C17" s="2" t="s">
        <v>1003</v>
      </c>
      <c r="D17" s="2" t="s">
        <v>1004</v>
      </c>
      <c r="E17" s="2" t="s">
        <v>1005</v>
      </c>
      <c r="F17" s="13">
        <v>1</v>
      </c>
      <c r="G17" s="1" t="s">
        <v>1006</v>
      </c>
      <c r="H17" s="1">
        <v>2000</v>
      </c>
      <c r="I17" s="1">
        <v>45</v>
      </c>
      <c r="J17" s="14">
        <v>0.29120000000000001</v>
      </c>
      <c r="K17" s="14">
        <f t="shared" si="1"/>
        <v>0.29120000000000001</v>
      </c>
      <c r="L17" s="14"/>
      <c r="M17" s="15"/>
      <c r="N17" s="15"/>
    </row>
    <row r="18" spans="1:14" ht="31" customHeight="1" x14ac:dyDescent="0.3">
      <c r="A18" s="1">
        <v>511131210</v>
      </c>
      <c r="B18" s="2" t="s">
        <v>1007</v>
      </c>
      <c r="C18" s="2" t="s">
        <v>1008</v>
      </c>
      <c r="D18" s="2" t="s">
        <v>1009</v>
      </c>
      <c r="E18" s="2" t="s">
        <v>1010</v>
      </c>
      <c r="F18" s="13">
        <v>2</v>
      </c>
      <c r="G18" s="1" t="s">
        <v>1011</v>
      </c>
      <c r="H18" s="1">
        <v>2000</v>
      </c>
      <c r="I18" s="1">
        <v>45</v>
      </c>
      <c r="J18" s="14">
        <v>1.7999999999999999E-2</v>
      </c>
      <c r="K18" s="14">
        <f t="shared" si="1"/>
        <v>3.5999999999999997E-2</v>
      </c>
      <c r="L18" s="14"/>
      <c r="M18" s="15"/>
      <c r="N18" s="15"/>
    </row>
    <row r="19" spans="1:14" s="3" customFormat="1" ht="31" customHeight="1" x14ac:dyDescent="0.3">
      <c r="A19" s="16" t="s">
        <v>810</v>
      </c>
      <c r="B19" s="17" t="s">
        <v>1012</v>
      </c>
      <c r="C19" s="17" t="s">
        <v>1013</v>
      </c>
      <c r="D19" s="17"/>
      <c r="E19" s="17" t="s">
        <v>1014</v>
      </c>
      <c r="F19" s="18">
        <v>1</v>
      </c>
      <c r="G19" s="16" t="s">
        <v>1015</v>
      </c>
      <c r="H19" s="16">
        <v>5000</v>
      </c>
      <c r="I19" s="16">
        <v>45</v>
      </c>
      <c r="J19" s="19">
        <v>1.7572000000000001</v>
      </c>
      <c r="K19" s="19">
        <f t="shared" si="1"/>
        <v>1.7572000000000001</v>
      </c>
      <c r="L19" s="19" t="s">
        <v>1016</v>
      </c>
      <c r="M19" s="28" t="s">
        <v>1017</v>
      </c>
      <c r="N19" s="20"/>
    </row>
    <row r="20" spans="1:14" ht="31" customHeight="1" x14ac:dyDescent="0.3">
      <c r="A20" s="1">
        <v>461307005</v>
      </c>
      <c r="B20" s="2" t="s">
        <v>1018</v>
      </c>
      <c r="C20" s="2" t="s">
        <v>1019</v>
      </c>
      <c r="D20" s="2" t="s">
        <v>1020</v>
      </c>
      <c r="E20" s="2" t="s">
        <v>1021</v>
      </c>
      <c r="F20" s="13">
        <v>6</v>
      </c>
      <c r="G20" s="1" t="s">
        <v>505</v>
      </c>
      <c r="H20" s="1">
        <v>3000</v>
      </c>
      <c r="I20" s="1">
        <v>28</v>
      </c>
      <c r="J20" s="14">
        <v>4.0500000000000001E-2</v>
      </c>
      <c r="K20" s="14">
        <f t="shared" si="1"/>
        <v>0.24299999999999999</v>
      </c>
      <c r="L20" s="14"/>
      <c r="M20" s="15"/>
      <c r="N20" s="15"/>
    </row>
    <row r="21" spans="1:14" ht="31" customHeight="1" x14ac:dyDescent="0.3">
      <c r="A21" s="1">
        <v>711965000</v>
      </c>
      <c r="B21" s="2" t="s">
        <v>1022</v>
      </c>
      <c r="C21" s="2" t="s">
        <v>1023</v>
      </c>
      <c r="D21" s="2"/>
      <c r="E21" s="2" t="s">
        <v>1024</v>
      </c>
      <c r="F21" s="13">
        <v>1</v>
      </c>
      <c r="G21" s="1" t="s">
        <v>623</v>
      </c>
      <c r="H21" s="1">
        <v>1000</v>
      </c>
      <c r="I21" s="1">
        <v>21</v>
      </c>
      <c r="J21" s="14">
        <v>0.158</v>
      </c>
      <c r="K21" s="14">
        <f t="shared" si="1"/>
        <v>0.158</v>
      </c>
      <c r="L21" s="14"/>
      <c r="M21" s="15"/>
      <c r="N21" s="15"/>
    </row>
    <row r="22" spans="1:14" ht="31" customHeight="1" x14ac:dyDescent="0.3">
      <c r="A22" s="1">
        <v>611351063</v>
      </c>
      <c r="B22" s="2" t="s">
        <v>1025</v>
      </c>
      <c r="C22" s="2" t="s">
        <v>1026</v>
      </c>
      <c r="D22" s="2" t="s">
        <v>1027</v>
      </c>
      <c r="E22" s="2" t="s">
        <v>1028</v>
      </c>
      <c r="F22" s="13">
        <v>6</v>
      </c>
      <c r="G22" s="1" t="s">
        <v>1029</v>
      </c>
      <c r="H22" s="1">
        <v>5000</v>
      </c>
      <c r="I22" s="1">
        <v>35</v>
      </c>
      <c r="J22" s="14">
        <v>2.3071999999999999E-2</v>
      </c>
      <c r="K22" s="14">
        <f t="shared" si="1"/>
        <v>0.138432</v>
      </c>
      <c r="L22" s="14"/>
      <c r="M22" s="15"/>
      <c r="N22" s="15"/>
    </row>
    <row r="23" spans="1:14" s="3" customFormat="1" ht="31" customHeight="1" x14ac:dyDescent="0.3">
      <c r="A23" s="16">
        <v>311003420</v>
      </c>
      <c r="B23" s="17" t="s">
        <v>1030</v>
      </c>
      <c r="C23" s="17" t="s">
        <v>569</v>
      </c>
      <c r="D23" s="17" t="s">
        <v>570</v>
      </c>
      <c r="E23" s="17" t="s">
        <v>1031</v>
      </c>
      <c r="F23" s="18">
        <v>2</v>
      </c>
      <c r="G23" s="16" t="s">
        <v>923</v>
      </c>
      <c r="H23" s="16">
        <v>3000</v>
      </c>
      <c r="I23" s="16">
        <v>42</v>
      </c>
      <c r="J23" s="19">
        <v>2.1499999999999998E-2</v>
      </c>
      <c r="K23" s="19">
        <f t="shared" si="1"/>
        <v>4.2999999999999997E-2</v>
      </c>
      <c r="L23" s="19"/>
      <c r="M23" s="20" t="s">
        <v>902</v>
      </c>
      <c r="N23" s="20"/>
    </row>
    <row r="24" spans="1:14" ht="31" customHeight="1" x14ac:dyDescent="0.3">
      <c r="A24" s="1" t="s">
        <v>1032</v>
      </c>
      <c r="B24" s="2" t="s">
        <v>1033</v>
      </c>
      <c r="C24" s="2"/>
      <c r="D24" s="2"/>
      <c r="E24" s="2"/>
      <c r="F24" s="13">
        <v>1</v>
      </c>
      <c r="G24" s="1"/>
      <c r="H24" s="1"/>
      <c r="I24" s="1"/>
      <c r="J24" s="14">
        <v>0.19800000000000001</v>
      </c>
      <c r="K24" s="14">
        <f t="shared" si="1"/>
        <v>0.19800000000000001</v>
      </c>
      <c r="L24" s="14"/>
      <c r="M24" s="15" t="s">
        <v>1034</v>
      </c>
      <c r="N24" s="15"/>
    </row>
    <row r="25" spans="1:14" ht="31" customHeight="1" x14ac:dyDescent="0.3">
      <c r="J25" s="29" t="s">
        <v>853</v>
      </c>
      <c r="K25" s="30">
        <f>SUM(K3:K24)</f>
        <v>3.0858319999999999</v>
      </c>
      <c r="L25" s="30"/>
      <c r="M25" s="31">
        <f>SUM(M3:M24)</f>
        <v>0</v>
      </c>
    </row>
    <row r="28" spans="1:14" ht="31" customHeight="1" x14ac:dyDescent="0.3">
      <c r="J28" s="29" t="s">
        <v>853</v>
      </c>
      <c r="K28" s="30">
        <v>3.189832</v>
      </c>
    </row>
  </sheetData>
  <sheetProtection formatCells="0" formatColumns="0" formatRows="0" insertColumns="0" insertRows="0" insertHyperlinks="0" deleteColumns="0" deleteRows="0" sort="0" autoFilter="0" pivotTables="0"/>
  <autoFilter ref="A2:K25" xr:uid="{00000000-0009-0000-0000-000004000000}"/>
  <mergeCells count="1">
    <mergeCell ref="A1:F1"/>
  </mergeCells>
  <phoneticPr fontId="2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ixelators xmlns="https://web.wps.cn/et/2018/main" xmlns:s="http://schemas.openxmlformats.org/spreadsheetml/2006/main">
  <pixelatorList sheetStid="4"/>
  <pixelatorList sheetStid="1"/>
  <pixelatorList sheetStid="2"/>
  <pixelatorList sheetStid="6"/>
  <pixelatorList sheetStid="3"/>
  <pixelatorList sheetStid="5"/>
  <pixelatorList sheetStid="7"/>
</pixelators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4">
    <commentChains s:ref="E17" rgbClr="FF0000">
      <unresolved>
        <commentChain chainId="2e135a2895029a6538018f91f103e19de8719841">
          <item id="becc2bcbe1a9b0a32dd31d047131cfbdc221df73" isNormal="1">
            <s:text>
              <s:r>
                <s:t xml:space="preserve">MIDIPLUS:
See details in the BOM.</s:t>
              </s:r>
            </s:text>
          </item>
        </commentChain>
      </unresolved>
      <resolved/>
    </commentChains>
  </commentList>
</comments>
</file>

<file path=customXml/item3.xml><?xml version="1.0" encoding="utf-8"?>
<autofilters xmlns="https://web.wps.cn/et/2018/main"/>
</file>

<file path=customXml/item4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465827910245" isFilterShared="0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 Board</vt:lpstr>
      <vt:lpstr>Main Board (NEW)</vt:lpstr>
      <vt:lpstr>Panel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ye</dc:creator>
  <cp:lastModifiedBy>shirley ye</cp:lastModifiedBy>
  <dcterms:created xsi:type="dcterms:W3CDTF">2025-10-18T00:13:00Z</dcterms:created>
  <dcterms:modified xsi:type="dcterms:W3CDTF">2026-10-10T09:07:05Z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CFDF1333EB814D3DA4F0B9E9E19391EF_13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